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remoteknight\Desktop\"/>
    </mc:Choice>
  </mc:AlternateContent>
  <xr:revisionPtr revIDLastSave="0" documentId="8_{3D88205A-E407-4F89-91C2-A0FF0117FAF4}" xr6:coauthVersionLast="47" xr6:coauthVersionMax="47" xr10:uidLastSave="{00000000-0000-0000-0000-000000000000}"/>
  <bookViews>
    <workbookView xWindow="-52" yWindow="0" windowWidth="22800" windowHeight="13597" activeTab="2" xr2:uid="{808E0E05-0141-4A4A-9561-04D167436E8E}"/>
  </bookViews>
  <sheets>
    <sheet name="Sheet2" sheetId="2" r:id="rId1"/>
    <sheet name="Sheet2 (2)" sheetId="3" r:id="rId2"/>
    <sheet name="Sheet2 (3)" sheetId="5" r:id="rId3"/>
    <sheet name="Sheet1" sheetId="1" r:id="rId4"/>
  </sheets>
  <definedNames>
    <definedName name="Slicer_Roast_Type">#N/A</definedName>
  </definedNames>
  <calcPr calcId="191029"/>
  <pivotCaches>
    <pivotCache cacheId="92" r:id="rId5"/>
    <pivotCache cacheId="98" r:id="rId6"/>
    <pivotCache cacheId="102" r:id="rId7"/>
  </pivotCaches>
  <extLst>
    <ext xmlns:x14="http://schemas.microsoft.com/office/spreadsheetml/2009/9/main" uri="{876F7934-8845-4945-9796-88D515C7AA90}">
      <x14:pivotCaches>
        <pivotCache cacheId="99"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9cedaf91-16a5-4095-9292-9d6e6be79b3d" name="orders" connection="Query - orders"/>
          <x15:modelTable id="customers_a22be9c1-1a88-46dc-b511-6cec57654e36" name="customers" connection="Query - customers"/>
          <x15:modelTable id="products_5b9b8347-1e63-4c3f-9ab0-3ef7d4e0615e" name="products" connection="Query - products"/>
          <x15:modelTable id="Calendar" name="Calendar" connection="Connection"/>
        </x15:modelTables>
        <x15:modelRelationships>
          <x15:modelRelationship fromTable="orders" fromColumn="Customer ID" toTable="customers" toColumn="Customer ID"/>
          <x15:modelRelationship fromTable="orders" fromColumn="Product ID" toTable="products" toColumn="Product ID"/>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FFC471-C338-4881-B658-892217AE9AF6}" name="Connection" type="104" refreshedVersion="0" background="1">
    <extLst>
      <ext xmlns:x15="http://schemas.microsoft.com/office/spreadsheetml/2010/11/main" uri="{DE250136-89BD-433C-8126-D09CA5730AF9}">
        <x15:connection id="Calendar"/>
      </ext>
    </extLst>
  </connection>
  <connection id="2" xr16:uid="{AEDE822C-326F-45AB-BB2F-4BE11452A7C8}" name="Query - customers" description="Connection to the 'customers' query in the workbook." type="100" refreshedVersion="8" minRefreshableVersion="5">
    <extLst>
      <ext xmlns:x15="http://schemas.microsoft.com/office/spreadsheetml/2010/11/main" uri="{DE250136-89BD-433C-8126-D09CA5730AF9}">
        <x15:connection id="7adde75c-7396-400e-8953-af761c6c198f"/>
      </ext>
    </extLst>
  </connection>
  <connection id="3" xr16:uid="{9116293A-962C-47A4-92CC-AC14D373573A}" name="Query - orders" description="Connection to the 'orders' query in the workbook." type="100" refreshedVersion="8" minRefreshableVersion="5">
    <extLst>
      <ext xmlns:x15="http://schemas.microsoft.com/office/spreadsheetml/2010/11/main" uri="{DE250136-89BD-433C-8126-D09CA5730AF9}">
        <x15:connection id="57e962ec-6254-439e-9b1b-1222f853a5dd"/>
      </ext>
    </extLst>
  </connection>
  <connection id="4" xr16:uid="{9E01622D-E692-4340-9B3B-00D492482F03}" name="Query - products" description="Connection to the 'products' query in the workbook." type="100" refreshedVersion="8" minRefreshableVersion="5">
    <extLst>
      <ext xmlns:x15="http://schemas.microsoft.com/office/spreadsheetml/2010/11/main" uri="{DE250136-89BD-433C-8126-D09CA5730AF9}">
        <x15:connection id="4f371a79-fd69-497b-af05-91f5d2ceb3ec"/>
      </ext>
    </extLst>
  </connection>
  <connection id="5" xr16:uid="{57CE02A6-45EC-404D-AB85-B01063B8AD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Returning_customers_flag].&amp;[True]}"/>
  </metadataStrings>
  <mdxMetadata count="1">
    <mdx n="0" f="s">
      <ms ns="1" c="0"/>
    </mdx>
  </mdxMetadata>
  <valueMetadata count="1">
    <bk>
      <rc t="1" v="0"/>
    </bk>
  </valueMetadata>
</metadata>
</file>

<file path=xl/sharedStrings.xml><?xml version="1.0" encoding="utf-8"?>
<sst xmlns="http://schemas.openxmlformats.org/spreadsheetml/2006/main" count="300" uniqueCount="131">
  <si>
    <t>Sum of Profit</t>
  </si>
  <si>
    <t>Ara</t>
  </si>
  <si>
    <t>Exc</t>
  </si>
  <si>
    <t>Lib</t>
  </si>
  <si>
    <t>Rob</t>
  </si>
  <si>
    <t>D</t>
  </si>
  <si>
    <t>L</t>
  </si>
  <si>
    <t>M</t>
  </si>
  <si>
    <t>Coffee Type</t>
  </si>
  <si>
    <t>Year</t>
  </si>
  <si>
    <t>Roast Type</t>
  </si>
  <si>
    <t>Month</t>
  </si>
  <si>
    <t>2019</t>
  </si>
  <si>
    <t>January</t>
  </si>
  <si>
    <t>February</t>
  </si>
  <si>
    <t>March</t>
  </si>
  <si>
    <t>April</t>
  </si>
  <si>
    <t>May</t>
  </si>
  <si>
    <t>June</t>
  </si>
  <si>
    <t>July</t>
  </si>
  <si>
    <t>August</t>
  </si>
  <si>
    <t>September</t>
  </si>
  <si>
    <t>October</t>
  </si>
  <si>
    <t>November</t>
  </si>
  <si>
    <t>December</t>
  </si>
  <si>
    <t>2020</t>
  </si>
  <si>
    <t>2021</t>
  </si>
  <si>
    <t>2022</t>
  </si>
  <si>
    <t>Returning_customers_flag</t>
  </si>
  <si>
    <t>TRUE</t>
  </si>
  <si>
    <t>Customer Name</t>
  </si>
  <si>
    <t>Abrahan Mussen</t>
  </si>
  <si>
    <t>Adrian Swaine</t>
  </si>
  <si>
    <t>Ailey Brash</t>
  </si>
  <si>
    <t>Allis Wilmore</t>
  </si>
  <si>
    <t>Aloisia Allner</t>
  </si>
  <si>
    <t>Anselma Attwater</t>
  </si>
  <si>
    <t>Anson Iddison</t>
  </si>
  <si>
    <t>Aurea Corradino</t>
  </si>
  <si>
    <t>Brenn Dundredge</t>
  </si>
  <si>
    <t>Brice Romera</t>
  </si>
  <si>
    <t>Cam Jewster</t>
  </si>
  <si>
    <t>Charis Crosier</t>
  </si>
  <si>
    <t>Charlean Keave</t>
  </si>
  <si>
    <t>Chloris Sorrell</t>
  </si>
  <si>
    <t>Christoffer O' Shea</t>
  </si>
  <si>
    <t>Claudetta Rushe</t>
  </si>
  <si>
    <t>Cody Verissimo</t>
  </si>
  <si>
    <t>Cordi Switsur</t>
  </si>
  <si>
    <t>Derick Snow</t>
  </si>
  <si>
    <t>Devland Gritton</t>
  </si>
  <si>
    <t>Don Flintiff</t>
  </si>
  <si>
    <t>Faunie Brigham</t>
  </si>
  <si>
    <t>Flynn Antony</t>
  </si>
  <si>
    <t>Foster Constance</t>
  </si>
  <si>
    <t>Gabie Tweed</t>
  </si>
  <si>
    <t>Gladi Ducker</t>
  </si>
  <si>
    <t>Hartley Mattioli</t>
  </si>
  <si>
    <t>Helaina Rainforth</t>
  </si>
  <si>
    <t>Ira Sjostrom</t>
  </si>
  <si>
    <t>Janella Millett</t>
  </si>
  <si>
    <t>Jeffrey Dufaire</t>
  </si>
  <si>
    <t>Jemimah Ethelston</t>
  </si>
  <si>
    <t>Jimmy Dymoke</t>
  </si>
  <si>
    <t>Kippie Marrison</t>
  </si>
  <si>
    <t>Leonore Francisco</t>
  </si>
  <si>
    <t>Lucienne Scargle</t>
  </si>
  <si>
    <t>Mag Armistead</t>
  </si>
  <si>
    <t>Marguerite Graves</t>
  </si>
  <si>
    <t>Marja Urion</t>
  </si>
  <si>
    <t>Modesty MacConnechie</t>
  </si>
  <si>
    <t>Morgen Seson</t>
  </si>
  <si>
    <t>Nealson Cuttler</t>
  </si>
  <si>
    <t>Nicko Corps</t>
  </si>
  <si>
    <t>Odelia Skerme</t>
  </si>
  <si>
    <t>Orazio Comber</t>
  </si>
  <si>
    <t>Rafferty Pursglove</t>
  </si>
  <si>
    <t>Selma McMillian</t>
  </si>
  <si>
    <t>Terri Farra</t>
  </si>
  <si>
    <t>Tuckie Mathonnet</t>
  </si>
  <si>
    <t>Tymon Zanetti</t>
  </si>
  <si>
    <t>Wilek Lightollers</t>
  </si>
  <si>
    <t>Zacharias Kiffe</t>
  </si>
  <si>
    <t>Email</t>
  </si>
  <si>
    <t>amussen50@51.la</t>
  </si>
  <si>
    <t>abrashda@plala.or.jp</t>
  </si>
  <si>
    <t>aallner0@lulu.com</t>
  </si>
  <si>
    <t>aattwater5u@wikia.com</t>
  </si>
  <si>
    <t>aiddisonaw@usa.gov</t>
  </si>
  <si>
    <t>acorradinoj@harvard.edu</t>
  </si>
  <si>
    <t>bromeramj@list-manage.com</t>
  </si>
  <si>
    <t>cjewsterlu@moonfruit.com</t>
  </si>
  <si>
    <t>ccrosier63@xrea.com</t>
  </si>
  <si>
    <t>ckeaver1@ucoz.com</t>
  </si>
  <si>
    <t>csorrellph@amazon.com</t>
  </si>
  <si>
    <t>crushe8n@about.me</t>
  </si>
  <si>
    <t>cverissimogh@theglobeandmail.com</t>
  </si>
  <si>
    <t>cswitsur3b@chronoengine.com</t>
  </si>
  <si>
    <t>dgrittonq0@nydailynews.com</t>
  </si>
  <si>
    <t>dflintiffg1@e-recht24.de</t>
  </si>
  <si>
    <t>fbrighamhg@blog.com</t>
  </si>
  <si>
    <t>fconstancekz@ifeng.com</t>
  </si>
  <si>
    <t>gtweed8v@yolasite.com</t>
  </si>
  <si>
    <t>gduckerdx@patch.com</t>
  </si>
  <si>
    <t>hmattioli1g@webmd.com</t>
  </si>
  <si>
    <t>hrainforthn2@blog.com</t>
  </si>
  <si>
    <t>isjostromig@pbs.org</t>
  </si>
  <si>
    <t>jmillettik@addtoany.com</t>
  </si>
  <si>
    <t>jdufaire2d@fc2.com</t>
  </si>
  <si>
    <t>jethelstonnl@creativecommons.org</t>
  </si>
  <si>
    <t>jdymokeje@prnewswire.com</t>
  </si>
  <si>
    <t>kmarrisonoq@dropbox.com</t>
  </si>
  <si>
    <t>lfrancisco42@fema.gov</t>
  </si>
  <si>
    <t>lscargle9h@myspace.com</t>
  </si>
  <si>
    <t>marmisteadeg@blogtalkradio.com</t>
  </si>
  <si>
    <t>murione5@alexa.com</t>
  </si>
  <si>
    <t>mmacconnechieo9@reuters.com</t>
  </si>
  <si>
    <t>msesonck@census.gov</t>
  </si>
  <si>
    <t>ncuttler5g@parallels.com</t>
  </si>
  <si>
    <t>ncorpsa0@gmpg.org</t>
  </si>
  <si>
    <t>oskermen3@hatena.ne.jp</t>
  </si>
  <si>
    <t>ocomberob@goo.gl</t>
  </si>
  <si>
    <t>rpursglovel9@biblegateway.com</t>
  </si>
  <si>
    <t>smcmillian8t@csmonitor.com</t>
  </si>
  <si>
    <t>tfarraac@behance.net</t>
  </si>
  <si>
    <t>tmathonneti0@google.co.jp</t>
  </si>
  <si>
    <t>tzanettig2@gravatar.com</t>
  </si>
  <si>
    <t>wlightollersf9@baidu.com</t>
  </si>
  <si>
    <t>zkiffe74@cyberchimps.com</t>
  </si>
  <si>
    <t>Count of Order ID</t>
  </si>
  <si>
    <t>profit_per_order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</si>
</sst>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[power_pivot_data_modeling_analysis.xlsx]Sheet2 (2)!PivotTable1</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(2)'!$C$3:$C$4</c:f>
              <c:strCache>
                <c:ptCount val="1"/>
                <c:pt idx="0">
                  <c:v>Ara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 (2)'!$B$5:$B$8</c:f>
              <c:strCache>
                <c:ptCount val="4"/>
                <c:pt idx="0">
                  <c:v>2019</c:v>
                </c:pt>
                <c:pt idx="1">
                  <c:v>2020</c:v>
                </c:pt>
                <c:pt idx="2">
                  <c:v>2021</c:v>
                </c:pt>
                <c:pt idx="3">
                  <c:v>2022</c:v>
                </c:pt>
              </c:strCache>
            </c:strRef>
          </c:cat>
          <c:val>
            <c:numRef>
              <c:f>'Sheet2 (2)'!$C$5:$C$8</c:f>
              <c:numCache>
                <c:formatCode>\$#,##0.00;\(\$#,##0.00\);\$#,##0.00</c:formatCode>
                <c:ptCount val="4"/>
                <c:pt idx="0">
                  <c:v>263.39670000000001</c:v>
                </c:pt>
                <c:pt idx="1">
                  <c:v>302.07735000000019</c:v>
                </c:pt>
                <c:pt idx="2">
                  <c:v>364.10670000000016</c:v>
                </c:pt>
                <c:pt idx="3">
                  <c:v>129.58379999999997</c:v>
                </c:pt>
              </c:numCache>
            </c:numRef>
          </c:val>
          <c:smooth val="0"/>
          <c:extLst>
            <c:ext xmlns:c16="http://schemas.microsoft.com/office/drawing/2014/chart" uri="{C3380CC4-5D6E-409C-BE32-E72D297353CC}">
              <c16:uniqueId val="{00000000-1C75-4098-B8BA-FC029204A485}"/>
            </c:ext>
          </c:extLst>
        </c:ser>
        <c:ser>
          <c:idx val="1"/>
          <c:order val="1"/>
          <c:tx>
            <c:strRef>
              <c:f>'Sheet2 (2)'!$D$3:$D$4</c:f>
              <c:strCache>
                <c:ptCount val="1"/>
                <c:pt idx="0">
                  <c:v>Exc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'Sheet2 (2)'!$B$5:$B$8</c:f>
              <c:strCache>
                <c:ptCount val="4"/>
                <c:pt idx="0">
                  <c:v>2019</c:v>
                </c:pt>
                <c:pt idx="1">
                  <c:v>2020</c:v>
                </c:pt>
                <c:pt idx="2">
                  <c:v>2021</c:v>
                </c:pt>
                <c:pt idx="3">
                  <c:v>2022</c:v>
                </c:pt>
              </c:strCache>
            </c:strRef>
          </c:cat>
          <c:val>
            <c:numRef>
              <c:f>'Sheet2 (2)'!$D$5:$D$8</c:f>
              <c:numCache>
                <c:formatCode>\$#,##0.00;\(\$#,##0.00\);\$#,##0.00</c:formatCode>
                <c:ptCount val="4"/>
                <c:pt idx="0">
                  <c:v>382.96060000000011</c:v>
                </c:pt>
                <c:pt idx="1">
                  <c:v>402.97510000000005</c:v>
                </c:pt>
                <c:pt idx="2">
                  <c:v>381.6604000000001</c:v>
                </c:pt>
                <c:pt idx="3">
                  <c:v>186.11229999999998</c:v>
                </c:pt>
              </c:numCache>
            </c:numRef>
          </c:val>
          <c:smooth val="0"/>
          <c:extLst>
            <c:ext xmlns:c16="http://schemas.microsoft.com/office/drawing/2014/chart" uri="{C3380CC4-5D6E-409C-BE32-E72D297353CC}">
              <c16:uniqueId val="{00000002-1C75-4098-B8BA-FC029204A485}"/>
            </c:ext>
          </c:extLst>
        </c:ser>
        <c:ser>
          <c:idx val="2"/>
          <c:order val="2"/>
          <c:tx>
            <c:strRef>
              <c:f>'Sheet2 (2)'!$E$3:$E$4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'Sheet2 (2)'!$B$5:$B$8</c:f>
              <c:strCache>
                <c:ptCount val="4"/>
                <c:pt idx="0">
                  <c:v>2019</c:v>
                </c:pt>
                <c:pt idx="1">
                  <c:v>2020</c:v>
                </c:pt>
                <c:pt idx="2">
                  <c:v>2021</c:v>
                </c:pt>
                <c:pt idx="3">
                  <c:v>2022</c:v>
                </c:pt>
              </c:strCache>
            </c:strRef>
          </c:cat>
          <c:val>
            <c:numRef>
              <c:f>'Sheet2 (2)'!$E$5:$E$8</c:f>
              <c:numCache>
                <c:formatCode>\$#,##0.00;\(\$#,##0.00\);\$#,##0.00</c:formatCode>
                <c:ptCount val="4"/>
                <c:pt idx="0">
                  <c:v>439.14064999999999</c:v>
                </c:pt>
                <c:pt idx="1">
                  <c:v>338.57915000000014</c:v>
                </c:pt>
                <c:pt idx="2">
                  <c:v>498.77035000000001</c:v>
                </c:pt>
                <c:pt idx="3">
                  <c:v>290.53960000000018</c:v>
                </c:pt>
              </c:numCache>
            </c:numRef>
          </c:val>
          <c:smooth val="0"/>
          <c:extLst>
            <c:ext xmlns:c16="http://schemas.microsoft.com/office/drawing/2014/chart" uri="{C3380CC4-5D6E-409C-BE32-E72D297353CC}">
              <c16:uniqueId val="{00000003-1C75-4098-B8BA-FC029204A485}"/>
            </c:ext>
          </c:extLst>
        </c:ser>
        <c:ser>
          <c:idx val="3"/>
          <c:order val="3"/>
          <c:tx>
            <c:strRef>
              <c:f>'Sheet2 (2)'!$F$3:$F$4</c:f>
              <c:strCache>
                <c:ptCount val="1"/>
                <c:pt idx="0">
                  <c:v>Rob</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'Sheet2 (2)'!$B$5:$B$8</c:f>
              <c:strCache>
                <c:ptCount val="4"/>
                <c:pt idx="0">
                  <c:v>2019</c:v>
                </c:pt>
                <c:pt idx="1">
                  <c:v>2020</c:v>
                </c:pt>
                <c:pt idx="2">
                  <c:v>2021</c:v>
                </c:pt>
                <c:pt idx="3">
                  <c:v>2022</c:v>
                </c:pt>
              </c:strCache>
            </c:strRef>
          </c:cat>
          <c:val>
            <c:numRef>
              <c:f>'Sheet2 (2)'!$F$5:$F$8</c:f>
              <c:numCache>
                <c:formatCode>\$#,##0.00;\(\$#,##0.00\);\$#,##0.00</c:formatCode>
                <c:ptCount val="4"/>
                <c:pt idx="0">
                  <c:v>144.06420000000006</c:v>
                </c:pt>
                <c:pt idx="1">
                  <c:v>149.59590000000006</c:v>
                </c:pt>
                <c:pt idx="2">
                  <c:v>144.84870000000006</c:v>
                </c:pt>
                <c:pt idx="3">
                  <c:v>101.80590000000002</c:v>
                </c:pt>
              </c:numCache>
            </c:numRef>
          </c:val>
          <c:smooth val="0"/>
          <c:extLst>
            <c:ext xmlns:c16="http://schemas.microsoft.com/office/drawing/2014/chart" uri="{C3380CC4-5D6E-409C-BE32-E72D297353CC}">
              <c16:uniqueId val="{00000004-1C75-4098-B8BA-FC029204A485}"/>
            </c:ext>
          </c:extLst>
        </c:ser>
        <c:dLbls>
          <c:showLegendKey val="0"/>
          <c:showVal val="0"/>
          <c:showCatName val="0"/>
          <c:showSerName val="0"/>
          <c:showPercent val="0"/>
          <c:showBubbleSize val="0"/>
        </c:dLbls>
        <c:dropLines>
          <c:spPr>
            <a:ln w="9525">
              <a:solidFill>
                <a:schemeClr val="lt1">
                  <a:lumMod val="50000"/>
                </a:schemeClr>
              </a:solidFill>
              <a:round/>
            </a:ln>
            <a:effectLst/>
          </c:spPr>
        </c:dropLines>
        <c:marker val="1"/>
        <c:smooth val="0"/>
        <c:axId val="910437232"/>
        <c:axId val="910425712"/>
      </c:lineChart>
      <c:catAx>
        <c:axId val="91043723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0425712"/>
        <c:crosses val="autoZero"/>
        <c:auto val="1"/>
        <c:lblAlgn val="ctr"/>
        <c:lblOffset val="100"/>
        <c:noMultiLvlLbl val="0"/>
      </c:catAx>
      <c:valAx>
        <c:axId val="910425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043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116417</xdr:colOff>
      <xdr:row>4</xdr:row>
      <xdr:rowOff>120650</xdr:rowOff>
    </xdr:from>
    <xdr:to>
      <xdr:col>13</xdr:col>
      <xdr:colOff>264583</xdr:colOff>
      <xdr:row>19</xdr:row>
      <xdr:rowOff>165100</xdr:rowOff>
    </xdr:to>
    <xdr:graphicFrame macro="">
      <xdr:nvGraphicFramePr>
        <xdr:cNvPr id="2" name="Chart 1">
          <a:extLst>
            <a:ext uri="{FF2B5EF4-FFF2-40B4-BE49-F238E27FC236}">
              <a16:creationId xmlns:a16="http://schemas.microsoft.com/office/drawing/2014/main" id="{6DC9D6A2-92F9-6EE9-A146-72A22A91C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291040</xdr:colOff>
      <xdr:row>8</xdr:row>
      <xdr:rowOff>112361</xdr:rowOff>
    </xdr:from>
    <xdr:to>
      <xdr:col>6</xdr:col>
      <xdr:colOff>28221</xdr:colOff>
      <xdr:row>19</xdr:row>
      <xdr:rowOff>165805</xdr:rowOff>
    </xdr:to>
    <mc:AlternateContent xmlns:mc="http://schemas.openxmlformats.org/markup-compatibility/2006">
      <mc:Choice xmlns:a14="http://schemas.microsoft.com/office/drawing/2010/main" Requires="a14">
        <xdr:graphicFrame macro="">
          <xdr:nvGraphicFramePr>
            <xdr:cNvPr id="3" name="Roast Type">
              <a:extLst>
                <a:ext uri="{FF2B5EF4-FFF2-40B4-BE49-F238E27FC236}">
                  <a16:creationId xmlns:a16="http://schemas.microsoft.com/office/drawing/2014/main" id="{01DCC4BD-4EA1-0551-2D62-3413DA2DEDFA}"/>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740957" y="1551694"/>
              <a:ext cx="2178403" cy="2032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oteknight" refreshedDate="46322.267050000002" createdVersion="5" refreshedVersion="8" minRefreshableVersion="3" recordCount="0" supportSubquery="1" supportAdvancedDrill="1" xr:uid="{C0BD3EA2-E09F-454A-AE01-6CE79E027706}">
  <cacheSource type="external" connectionId="5"/>
  <cacheFields count="6">
    <cacheField name="[Measures].[Sum of Profit]" caption="Sum of Profit" numFmtId="0" hierarchy="31" level="32767"/>
    <cacheField name="[products].[Coffee Type].[Coffee Type]" caption="Coffee Type" numFmtId="0" hierarchy="25" level="1">
      <sharedItems count="4">
        <s v="Ara"/>
        <s v="Exc"/>
        <s v="Lib"/>
        <s v="Rob"/>
      </sharedItems>
    </cacheField>
    <cacheField name="[products].[Roast Type].[Roast Type]" caption="Roast Type" numFmtId="0" hierarchy="26" level="1">
      <sharedItems count="3">
        <s v="D"/>
        <s v="L"/>
        <s v="M"/>
      </sharedItems>
      <extLst>
        <ext xmlns:x15="http://schemas.microsoft.com/office/spreadsheetml/2010/11/main" uri="{4F2E5C28-24EA-4eb8-9CBF-B6C8F9C3D259}">
          <x15:cachedUniqueNames>
            <x15:cachedUniqueName index="0" name="[products].[Roast Type].&amp;[D]"/>
            <x15:cachedUniqueName index="1" name="[products].[Roast Type].&amp;[L]"/>
            <x15:cachedUniqueName index="2" name="[products].[Roast Type].&amp;[M]"/>
          </x15:cachedUniqueNames>
        </ext>
      </extLst>
    </cacheField>
    <cacheField name="[Calendar].[Date Hierarchy].[Year]" caption="Year" numFmtId="0" hierarchy="1" level="1">
      <sharedItems count="4">
        <s v="[Calendar].[Date Hierarchy].[Year].&amp;[2019]" c="2019"/>
        <s v="[Calendar].[Date Hierarchy].[Year].&amp;[2020]" c="2020"/>
        <s v="[Calendar].[Date Hierarchy].[Year].&amp;[2021]" c="2021"/>
        <s v="[Calendar].[Date Hierarchy].[Year].&amp;[2022]" c="2022"/>
      </sharedItems>
    </cacheField>
    <cacheField name="[Calendar].[Date Hierarchy].[Month]" caption="Month" numFmtId="0" hierarchy="1" level="2">
      <sharedItems count="44">
        <s v="January"/>
        <s v="February"/>
        <s v="March"/>
        <s v="April"/>
        <s v="May"/>
        <s v="June"/>
        <s v="July"/>
        <s v="August"/>
        <s v="September"/>
        <s v="October"/>
        <s v="November"/>
        <s v="December"/>
        <s v="January"/>
        <s v="February"/>
        <s v="March"/>
        <s v="April"/>
        <s v="May"/>
        <s v="June"/>
        <s v="July"/>
        <s v="August"/>
        <s v="September"/>
        <s v="October"/>
        <s v="November"/>
        <s v="December"/>
        <s v="January"/>
        <s v="February"/>
        <s v="March"/>
        <s v="April"/>
        <s v="May"/>
        <s v="June"/>
        <s v="July"/>
        <s v="August"/>
        <s v="September"/>
        <s v="October"/>
        <s v="November"/>
        <s v="December"/>
        <s v="January"/>
        <s v="February"/>
        <s v="March"/>
        <s v="April"/>
        <s v="May"/>
        <s v="June"/>
        <s v="July"/>
        <s v="August"/>
      </sharedItems>
      <extLst>
        <ext xmlns:x15="http://schemas.microsoft.com/office/spreadsheetml/2010/11/main" uri="{4F2E5C28-24EA-4eb8-9CBF-B6C8F9C3D259}">
          <x15:cachedUniqueNames>
            <x15:cachedUniqueName index="0" name="[Calendar].[Date Hierarchy].[Year].&amp;[2019].&amp;[January]"/>
            <x15:cachedUniqueName index="1" name="[Calendar].[Date Hierarchy].[Year].&amp;[2019].&amp;[February]"/>
            <x15:cachedUniqueName index="2" name="[Calendar].[Date Hierarchy].[Year].&amp;[2019].&amp;[March]"/>
            <x15:cachedUniqueName index="3" name="[Calendar].[Date Hierarchy].[Year].&amp;[2019].&amp;[April]"/>
            <x15:cachedUniqueName index="4" name="[Calendar].[Date Hierarchy].[Year].&amp;[2019].&amp;[May]"/>
            <x15:cachedUniqueName index="5" name="[Calendar].[Date Hierarchy].[Year].&amp;[2019].&amp;[June]"/>
            <x15:cachedUniqueName index="6" name="[Calendar].[Date Hierarchy].[Year].&amp;[2019].&amp;[July]"/>
            <x15:cachedUniqueName index="7" name="[Calendar].[Date Hierarchy].[Year].&amp;[2019].&amp;[August]"/>
            <x15:cachedUniqueName index="8" name="[Calendar].[Date Hierarchy].[Year].&amp;[2019].&amp;[September]"/>
            <x15:cachedUniqueName index="9" name="[Calendar].[Date Hierarchy].[Year].&amp;[2019].&amp;[October]"/>
            <x15:cachedUniqueName index="10" name="[Calendar].[Date Hierarchy].[Year].&amp;[2019].&amp;[November]"/>
            <x15:cachedUniqueName index="11" name="[Calendar].[Date Hierarchy].[Year].&amp;[2019].&amp;[December]"/>
            <x15:cachedUniqueName index="12" name="[Calendar].[Date Hierarchy].[Year].&amp;[2020].&amp;[January]"/>
            <x15:cachedUniqueName index="13" name="[Calendar].[Date Hierarchy].[Year].&amp;[2020].&amp;[February]"/>
            <x15:cachedUniqueName index="14" name="[Calendar].[Date Hierarchy].[Year].&amp;[2020].&amp;[March]"/>
            <x15:cachedUniqueName index="15" name="[Calendar].[Date Hierarchy].[Year].&amp;[2020].&amp;[April]"/>
            <x15:cachedUniqueName index="16" name="[Calendar].[Date Hierarchy].[Year].&amp;[2020].&amp;[May]"/>
            <x15:cachedUniqueName index="17" name="[Calendar].[Date Hierarchy].[Year].&amp;[2020].&amp;[June]"/>
            <x15:cachedUniqueName index="18" name="[Calendar].[Date Hierarchy].[Year].&amp;[2020].&amp;[July]"/>
            <x15:cachedUniqueName index="19" name="[Calendar].[Date Hierarchy].[Year].&amp;[2020].&amp;[August]"/>
            <x15:cachedUniqueName index="20" name="[Calendar].[Date Hierarchy].[Year].&amp;[2020].&amp;[September]"/>
            <x15:cachedUniqueName index="21" name="[Calendar].[Date Hierarchy].[Year].&amp;[2020].&amp;[October]"/>
            <x15:cachedUniqueName index="22" name="[Calendar].[Date Hierarchy].[Year].&amp;[2020].&amp;[November]"/>
            <x15:cachedUniqueName index="23" name="[Calendar].[Date Hierarchy].[Year].&amp;[2020].&amp;[December]"/>
            <x15:cachedUniqueName index="24" name="[Calendar].[Date Hierarchy].[Year].&amp;[2021].&amp;[January]"/>
            <x15:cachedUniqueName index="25" name="[Calendar].[Date Hierarchy].[Year].&amp;[2021].&amp;[February]"/>
            <x15:cachedUniqueName index="26" name="[Calendar].[Date Hierarchy].[Year].&amp;[2021].&amp;[March]"/>
            <x15:cachedUniqueName index="27" name="[Calendar].[Date Hierarchy].[Year].&amp;[2021].&amp;[April]"/>
            <x15:cachedUniqueName index="28" name="[Calendar].[Date Hierarchy].[Year].&amp;[2021].&amp;[May]"/>
            <x15:cachedUniqueName index="29" name="[Calendar].[Date Hierarchy].[Year].&amp;[2021].&amp;[June]"/>
            <x15:cachedUniqueName index="30" name="[Calendar].[Date Hierarchy].[Year].&amp;[2021].&amp;[July]"/>
            <x15:cachedUniqueName index="31" name="[Calendar].[Date Hierarchy].[Year].&amp;[2021].&amp;[August]"/>
            <x15:cachedUniqueName index="32" name="[Calendar].[Date Hierarchy].[Year].&amp;[2021].&amp;[September]"/>
            <x15:cachedUniqueName index="33" name="[Calendar].[Date Hierarchy].[Year].&amp;[2021].&amp;[October]"/>
            <x15:cachedUniqueName index="34" name="[Calendar].[Date Hierarchy].[Year].&amp;[2021].&amp;[November]"/>
            <x15:cachedUniqueName index="35" name="[Calendar].[Date Hierarchy].[Year].&amp;[2021].&amp;[December]"/>
            <x15:cachedUniqueName index="36" name="[Calendar].[Date Hierarchy].[Year].&amp;[2022].&amp;[January]"/>
            <x15:cachedUniqueName index="37" name="[Calendar].[Date Hierarchy].[Year].&amp;[2022].&amp;[February]"/>
            <x15:cachedUniqueName index="38" name="[Calendar].[Date Hierarchy].[Year].&amp;[2022].&amp;[March]"/>
            <x15:cachedUniqueName index="39" name="[Calendar].[Date Hierarchy].[Year].&amp;[2022].&amp;[April]"/>
            <x15:cachedUniqueName index="40" name="[Calendar].[Date Hierarchy].[Year].&amp;[2022].&amp;[May]"/>
            <x15:cachedUniqueName index="41" name="[Calendar].[Date Hierarchy].[Year].&amp;[2022].&amp;[June]"/>
            <x15:cachedUniqueName index="42" name="[Calendar].[Date Hierarchy].[Year].&amp;[2022].&amp;[July]"/>
            <x15:cachedUniqueName index="43" name="[Calendar].[Date Hierarchy].[Year].&amp;[2022].&amp;[August]"/>
          </x15:cachedUniqueNames>
        </ext>
      </extLst>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_customers_flag]" caption="Returning_customers_flag" attribute="1" defaultMemberUniqueName="[orders].[Returning_customers_flag].[All]" allUniqueName="[orders].[Returning_customers_flag].[All]" dimensionUniqueName="[orders]" displayFolder="" count="0" memberValueDatatype="11"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1"/>
      </fieldsUsage>
    </cacheHierarchy>
    <cacheHierarchy uniqueName="[products].[Roast Type]" caption="Roast Type" attribute="1" defaultMemberUniqueName="[products].[Roast Type].[All]" allUniqueName="[products].[Roast Type].[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_per_order]" caption="profit_per_o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oteknight" refreshedDate="46322.267507523145" createdVersion="5" refreshedVersion="8" minRefreshableVersion="3" recordCount="0" supportSubquery="1" supportAdvancedDrill="1" xr:uid="{4363E6C5-2BAF-4FA4-A5C0-9E5478C5B7F2}">
  <cacheSource type="external" connectionId="5"/>
  <cacheFields count="6">
    <cacheField name="[Measures].[Sum of Profit]" caption="Sum of Profit" numFmtId="0" hierarchy="31" level="32767"/>
    <cacheField name="[orders].[Returning_customers_flag].[Returning_customers_flag]" caption="Returning_customers_flag" numFmtId="0" hierarchy="23" level="1">
      <sharedItems containsSemiMixedTypes="0" containsNonDate="0" containsString="0"/>
    </cacheField>
    <cacheField name="[customers].[Customer Name].[Customer Name]" caption="Customer Name" numFmtId="0" hierarchy="9" level="1">
      <sharedItems count="52">
        <s v="Abrahan Mussen"/>
        <s v="Adrian Swaine"/>
        <s v="Ailey Brash"/>
        <s v="Allis Wilmore"/>
        <s v="Aloisia Allner"/>
        <s v="Anselma Attwater"/>
        <s v="Anson Iddison"/>
        <s v="Aurea Corradino"/>
        <s v="Brenn Dundredge"/>
        <s v="Brice Romera"/>
        <s v="Cam Jewster"/>
        <s v="Charis Crosier"/>
        <s v="Charlean Keave"/>
        <s v="Chloris Sorrell"/>
        <s v="Christoffer O' Shea"/>
        <s v="Claudetta Rushe"/>
        <s v="Cody Verissimo"/>
        <s v="Cordi Switsur"/>
        <s v="Derick Snow"/>
        <s v="Devland Gritton"/>
        <s v="Don Flintiff"/>
        <s v="Faunie Brigham"/>
        <s v="Flynn Antony"/>
        <s v="Foster Constance"/>
        <s v="Gabie Tweed"/>
        <s v="Gladi Ducker"/>
        <s v="Hartley Mattioli"/>
        <s v="Helaina Rainforth"/>
        <s v="Ira Sjostrom"/>
        <s v="Janella Millett"/>
        <s v="Jeffrey Dufaire"/>
        <s v="Jemimah Ethelston"/>
        <s v="Jimmy Dymoke"/>
        <s v="Kippie Marrison"/>
        <s v="Leonore Francisco"/>
        <s v="Lucienne Scargle"/>
        <s v="Mag Armistead"/>
        <s v="Marguerite Graves"/>
        <s v="Marja Urion"/>
        <s v="Modesty MacConnechie"/>
        <s v="Morgen Seson"/>
        <s v="Nealson Cuttler"/>
        <s v="Nicko Corps"/>
        <s v="Odelia Skerme"/>
        <s v="Orazio Comber"/>
        <s v="Rafferty Pursglove"/>
        <s v="Selma McMillian"/>
        <s v="Terri Farra"/>
        <s v="Tuckie Mathonnet"/>
        <s v="Tymon Zanetti"/>
        <s v="Wilek Lightollers"/>
        <s v="Zacharias Kiffe"/>
      </sharedItems>
    </cacheField>
    <cacheField name="[customers].[Email].[Email]" caption="Email" numFmtId="0" hierarchy="10" level="1">
      <sharedItems count="46">
        <s v="amussen50@51.la"/>
        <s v=""/>
        <s v="abrashda@plala.or.jp"/>
        <s v="aallner0@lulu.com"/>
        <s v="aattwater5u@wikia.com"/>
        <s v="aiddisonaw@usa.gov"/>
        <s v="acorradinoj@harvard.edu"/>
        <s v="bromeramj@list-manage.com"/>
        <s v="cjewsterlu@moonfruit.com"/>
        <s v="ccrosier63@xrea.com"/>
        <s v="ckeaver1@ucoz.com"/>
        <s v="csorrellph@amazon.com"/>
        <s v="crushe8n@about.me"/>
        <s v="cverissimogh@theglobeandmail.com"/>
        <s v="cswitsur3b@chronoengine.com"/>
        <s v="dgrittonq0@nydailynews.com"/>
        <s v="dflintiffg1@e-recht24.de"/>
        <s v="fbrighamhg@blog.com"/>
        <s v="fconstancekz@ifeng.com"/>
        <s v="gtweed8v@yolasite.com"/>
        <s v="gduckerdx@patch.com"/>
        <s v="hmattioli1g@webmd.com"/>
        <s v="hrainforthn2@blog.com"/>
        <s v="isjostromig@pbs.org"/>
        <s v="jmillettik@addtoany.com"/>
        <s v="jdufaire2d@fc2.com"/>
        <s v="jethelstonnl@creativecommons.org"/>
        <s v="jdymokeje@prnewswire.com"/>
        <s v="kmarrisonoq@dropbox.com"/>
        <s v="lfrancisco42@fema.gov"/>
        <s v="lscargle9h@myspace.com"/>
        <s v="marmisteadeg@blogtalkradio.com"/>
        <s v="murione5@alexa.com"/>
        <s v="mmacconnechieo9@reuters.com"/>
        <s v="msesonck@census.gov"/>
        <s v="ncuttler5g@parallels.com"/>
        <s v="ncorpsa0@gmpg.org"/>
        <s v="oskermen3@hatena.ne.jp"/>
        <s v="ocomberob@goo.gl"/>
        <s v="rpursglovel9@biblegateway.com"/>
        <s v="smcmillian8t@csmonitor.com"/>
        <s v="tfarraac@behance.net"/>
        <s v="tmathonneti0@google.co.jp"/>
        <s v="tzanettig2@gravatar.com"/>
        <s v="wlightollersf9@baidu.com"/>
        <s v="zkiffe74@cyberchimps.com"/>
      </sharedItems>
    </cacheField>
    <cacheField name="[Measures].[Count of Order ID]" caption="Count of Order ID" numFmtId="0" hierarchy="32" level="32767"/>
    <cacheField name="[Measures].[profit_per_order]" caption="profit_per_order" numFmtId="0" hierarchy="33" level="32767"/>
  </cacheFields>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2"/>
      </fieldsUsage>
    </cacheHierarchy>
    <cacheHierarchy uniqueName="[customers].[Email]" caption="Email" attribute="1" defaultMemberUniqueName="[customers].[Email].[All]" allUniqueName="[customers].[Email].[All]" dimensionUniqueName="[customers]" displayFolder="" count="2" memberValueDatatype="130" unbalanced="0">
      <fieldsUsage count="2">
        <fieldUsage x="-1"/>
        <fieldUsage x="3"/>
      </fieldsUsage>
    </cacheHierarchy>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_customers_flag]" caption="Returning_customers_flag" attribute="1" defaultMemberUniqueName="[orders].[Returning_customers_flag].[All]" allUniqueName="[orders].[Returning_customers_flag].[All]" dimensionUniqueName="[orders]" displayFolder="" count="2" memberValueDatatype="11"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oneField="1">
      <fieldsUsage count="1">
        <fieldUsage x="4"/>
      </fieldsUsage>
      <extLst>
        <ext xmlns:x15="http://schemas.microsoft.com/office/spreadsheetml/2010/11/main" uri="{B97F6D7D-B522-45F9-BDA1-12C45D357490}">
          <x15:cacheHierarchy aggregatedColumn="17"/>
        </ext>
      </extLst>
    </cacheHierarchy>
    <cacheHierarchy uniqueName="[Measures].[profit_per_order]" caption="profit_per_order"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oteknight" refreshedDate="46322.268753009259" createdVersion="5" refreshedVersion="8" minRefreshableVersion="3" recordCount="0" supportSubquery="1" supportAdvancedDrill="1" xr:uid="{E8E02645-A212-41C6-A131-434E266CFE0C}">
  <cacheSource type="external" connectionId="5"/>
  <cacheFields count="5">
    <cacheField name="[Measures].[Sum of Profit]" caption="Sum of Profit" numFmtId="0" hierarchy="31" level="32767"/>
    <cacheField name="[products].[Coffee Type].[Coffee Type]" caption="Coffee Type" numFmtId="0" hierarchy="25" level="1">
      <sharedItems count="4">
        <s v="Ara"/>
        <s v="Exc"/>
        <s v="Lib"/>
        <s v="Rob"/>
      </sharedItems>
    </cacheField>
    <cacheField name="[Calendar].[Date Hierarchy].[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Date Hierarchy].[Year].&amp;[2019]"/>
            <x15:cachedUniqueName index="1" name="[Calendar].[Date Hierarchy].[Year].&amp;[2020]"/>
            <x15:cachedUniqueName index="2" name="[Calendar].[Date Hierarchy].[Year].&amp;[2021]"/>
            <x15:cachedUniqueName index="3"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Phone Number]" caption="Phone Number" attribute="1" defaultMemberUniqueName="[customers].[Phone Number].[All]" allUniqueName="[customers].[Phone Number].[All]" dimensionUniqueName="[customers]" displayFolder="" count="2" memberValueDatatype="130" unbalanced="0"/>
    <cacheHierarchy uniqueName="[customers].[Address Line 1]" caption="Address Line 1" attribute="1" defaultMemberUniqueName="[customers].[Address Line 1].[All]" allUniqueName="[customers].[Address Line 1].[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ostcode]" caption="Postcode" attribute="1" defaultMemberUniqueName="[customers].[Postcode].[All]" allUniqueName="[customers].[Postcode].[All]" dimensionUniqueName="[customers]" displayFolder="" count="2"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Returning_customers_flag]" caption="Returning_customers_flag" attribute="1" defaultMemberUniqueName="[orders].[Returning_customers_flag].[All]" allUniqueName="[orders].[Returning_customers_flag].[All]" dimensionUniqueName="[orders]" displayFolder="" count="2" memberValueDatatype="11"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offee Type]" caption="Coffee Type" attribute="1" defaultMemberUniqueName="[products].[Coffee Type].[All]" allUniqueName="[products].[Coffee Type].[All]" dimensionUniqueName="[products]" displayFolder="" count="2" memberValueDatatype="130" unbalanced="0">
      <fieldsUsage count="2">
        <fieldUsage x="-1"/>
        <fieldUsage x="1"/>
      </fieldsUsage>
    </cacheHierarchy>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2" memberValueDatatype="5" unbalanced="0"/>
    <cacheHierarchy uniqueName="[products].[Price per 100g]" caption="Price per 100g" attribute="1" defaultMemberUniqueName="[products].[Price per 100g].[All]" allUniqueName="[products].[Price per 100g].[All]" dimensionUniqueName="[products]" displayFolder="" count="2" memberValueDatatype="5" unbalanced="0"/>
    <cacheHierarchy uniqueName="[products].[Profit]" caption="Profit" attribute="1" defaultMemberUniqueName="[products].[Profit].[All]" allUniqueName="[products].[Profit].[All]" dimensionUniqueName="[products]" displayFolder="" count="2" memberValueDatatype="5" unbalanced="0"/>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_per_order]" caption="profit_per_o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oteknight" refreshedDate="46322.268749305556" createdVersion="3" refreshedVersion="8" minRefreshableVersion="3" recordCount="0" supportSubquery="1" supportAdvancedDrill="1" xr:uid="{AEDB88A6-9EC9-42BB-9387-6BEFAAD47635}">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Returning_customers_flag]" caption="Returning_customers_flag" attribute="1" defaultMemberUniqueName="[orders].[Returning_customers_flag].[All]" allUniqueName="[orders].[Returning_customers_flag].[All]" dimensionUniqueName="[orders]" displayFolder="" count="0" memberValueDatatype="11"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7"/>
        </ext>
      </extLst>
    </cacheHierarchy>
    <cacheHierarchy uniqueName="[Measures].[profit_per_order]" caption="profit_per_order"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1553719"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8C1988-7AE6-4A18-B2EB-9EE20A717934}" name="PivotTable1" cacheId="92" applyNumberFormats="0" applyBorderFormats="0" applyFontFormats="0" applyPatternFormats="0" applyAlignmentFormats="0" applyWidthHeightFormats="1" dataCaption="Values" tag="2ecba11b-ed88-424c-b0ee-d2bcd4b6f881" updatedVersion="8" minRefreshableVersion="3" useAutoFormatting="1" subtotalHiddenItems="1" rowGrandTotals="0" colGrandTotals="0" itemPrintTitles="1" createdVersion="5" indent="0" compact="0" compactData="0" multipleFieldFilters="0">
  <location ref="B3:H136" firstHeaderRow="1" firstDataRow="2" firstDataCol="3"/>
  <pivotFields count="6">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axis="axisRow" compact="0" allDrilled="1" outline="0" subtotalTop="0" showAll="0" defaultSubtotal="0" defaultAttributeDrillState="1">
      <items count="3">
        <item x="1"/>
        <item x="2"/>
        <item x="0"/>
      </items>
    </pivotField>
    <pivotField axis="axisRow" compact="0" allDrilled="1" outline="0" subtotalTop="0" showAll="0" dataSourceSort="1" defaultSubtotal="0">
      <items count="4">
        <item c="1" x="0"/>
        <item c="1" x="1"/>
        <item c="1" x="2"/>
        <item c="1" x="3"/>
      </items>
    </pivotField>
    <pivotField axis="axisRow" compact="0" allDrilled="1" outline="0" subtotalTop="0" showAll="0" dataSourceSort="1" defaultSubtotal="0">
      <items count="44">
        <item c="1" x="0"/>
        <item c="1" x="1"/>
        <item c="1" x="2"/>
        <item c="1" x="3"/>
        <item c="1" x="4"/>
        <item c="1" x="5"/>
        <item c="1" x="6"/>
        <item c="1" x="7"/>
        <item c="1" x="8"/>
        <item c="1" x="9"/>
        <item c="1" x="10"/>
        <item c="1" x="11"/>
        <item c="1" x="12"/>
        <item c="1" x="13"/>
        <item c="1" x="14"/>
        <item c="1" x="15"/>
        <item c="1" x="16"/>
        <item c="1" x="17"/>
        <item c="1" x="18"/>
        <item c="1" x="19"/>
        <item c="1" x="20"/>
        <item c="1" x="21"/>
        <item c="1" x="22"/>
        <item c="1" x="23"/>
        <item c="1" x="24"/>
        <item c="1" x="25"/>
        <item c="1" x="26"/>
        <item c="1" x="27"/>
        <item c="1" x="28"/>
        <item c="1" x="29"/>
        <item c="1" x="30"/>
        <item c="1" x="31"/>
        <item c="1" x="32"/>
        <item c="1" x="33"/>
        <item c="1" x="34"/>
        <item c="1" x="35"/>
        <item c="1" x="36"/>
        <item c="1" x="37"/>
        <item c="1" x="38"/>
        <item c="1" x="39"/>
        <item c="1" x="40"/>
        <item c="1" x="41"/>
        <item c="1" x="42"/>
        <item c="1" x="43"/>
      </items>
    </pivotField>
    <pivotField axis="axisRow" compact="0" outline="0" subtotalTop="0" showAll="0" dataSourceSort="1" defaultSubtotal="0"/>
  </pivotFields>
  <rowFields count="3">
    <field x="3"/>
    <field x="4"/>
    <field x="2"/>
  </rowFields>
  <rowItems count="132">
    <i>
      <x/>
      <x/>
      <x/>
    </i>
    <i r="2">
      <x v="1"/>
    </i>
    <i r="2">
      <x v="2"/>
    </i>
    <i r="1">
      <x v="1"/>
      <x/>
    </i>
    <i r="2">
      <x v="1"/>
    </i>
    <i r="2">
      <x v="2"/>
    </i>
    <i r="1">
      <x v="2"/>
      <x/>
    </i>
    <i r="2">
      <x v="1"/>
    </i>
    <i r="2">
      <x v="2"/>
    </i>
    <i r="1">
      <x v="3"/>
      <x/>
    </i>
    <i r="2">
      <x v="1"/>
    </i>
    <i r="2">
      <x v="2"/>
    </i>
    <i r="1">
      <x v="4"/>
      <x/>
    </i>
    <i r="2">
      <x v="1"/>
    </i>
    <i r="2">
      <x v="2"/>
    </i>
    <i r="1">
      <x v="5"/>
      <x/>
    </i>
    <i r="2">
      <x v="1"/>
    </i>
    <i r="2">
      <x v="2"/>
    </i>
    <i r="1">
      <x v="6"/>
      <x/>
    </i>
    <i r="2">
      <x v="1"/>
    </i>
    <i r="2">
      <x v="2"/>
    </i>
    <i r="1">
      <x v="7"/>
      <x/>
    </i>
    <i r="2">
      <x v="1"/>
    </i>
    <i r="2">
      <x v="2"/>
    </i>
    <i r="1">
      <x v="8"/>
      <x/>
    </i>
    <i r="2">
      <x v="1"/>
    </i>
    <i r="2">
      <x v="2"/>
    </i>
    <i r="1">
      <x v="9"/>
      <x/>
    </i>
    <i r="2">
      <x v="1"/>
    </i>
    <i r="2">
      <x v="2"/>
    </i>
    <i r="1">
      <x v="10"/>
      <x/>
    </i>
    <i r="2">
      <x v="1"/>
    </i>
    <i r="2">
      <x v="2"/>
    </i>
    <i r="1">
      <x v="11"/>
      <x/>
    </i>
    <i r="2">
      <x v="1"/>
    </i>
    <i r="2">
      <x v="2"/>
    </i>
    <i>
      <x v="1"/>
      <x v="12"/>
      <x/>
    </i>
    <i r="2">
      <x v="1"/>
    </i>
    <i r="2">
      <x v="2"/>
    </i>
    <i r="1">
      <x v="13"/>
      <x/>
    </i>
    <i r="2">
      <x v="1"/>
    </i>
    <i r="2">
      <x v="2"/>
    </i>
    <i r="1">
      <x v="14"/>
      <x/>
    </i>
    <i r="2">
      <x v="1"/>
    </i>
    <i r="2">
      <x v="2"/>
    </i>
    <i r="1">
      <x v="15"/>
      <x/>
    </i>
    <i r="2">
      <x v="1"/>
    </i>
    <i r="2">
      <x v="2"/>
    </i>
    <i r="1">
      <x v="16"/>
      <x/>
    </i>
    <i r="2">
      <x v="1"/>
    </i>
    <i r="2">
      <x v="2"/>
    </i>
    <i r="1">
      <x v="17"/>
      <x/>
    </i>
    <i r="2">
      <x v="1"/>
    </i>
    <i r="2">
      <x v="2"/>
    </i>
    <i r="1">
      <x v="18"/>
      <x/>
    </i>
    <i r="2">
      <x v="1"/>
    </i>
    <i r="2">
      <x v="2"/>
    </i>
    <i r="1">
      <x v="19"/>
      <x/>
    </i>
    <i r="2">
      <x v="1"/>
    </i>
    <i r="2">
      <x v="2"/>
    </i>
    <i r="1">
      <x v="20"/>
      <x/>
    </i>
    <i r="2">
      <x v="1"/>
    </i>
    <i r="2">
      <x v="2"/>
    </i>
    <i r="1">
      <x v="21"/>
      <x/>
    </i>
    <i r="2">
      <x v="1"/>
    </i>
    <i r="2">
      <x v="2"/>
    </i>
    <i r="1">
      <x v="22"/>
      <x/>
    </i>
    <i r="2">
      <x v="1"/>
    </i>
    <i r="2">
      <x v="2"/>
    </i>
    <i r="1">
      <x v="23"/>
      <x/>
    </i>
    <i r="2">
      <x v="1"/>
    </i>
    <i r="2">
      <x v="2"/>
    </i>
    <i>
      <x v="2"/>
      <x v="24"/>
      <x/>
    </i>
    <i r="2">
      <x v="1"/>
    </i>
    <i r="2">
      <x v="2"/>
    </i>
    <i r="1">
      <x v="25"/>
      <x/>
    </i>
    <i r="2">
      <x v="1"/>
    </i>
    <i r="2">
      <x v="2"/>
    </i>
    <i r="1">
      <x v="26"/>
      <x/>
    </i>
    <i r="2">
      <x v="1"/>
    </i>
    <i r="2">
      <x v="2"/>
    </i>
    <i r="1">
      <x v="27"/>
      <x/>
    </i>
    <i r="2">
      <x v="1"/>
    </i>
    <i r="2">
      <x v="2"/>
    </i>
    <i r="1">
      <x v="28"/>
      <x/>
    </i>
    <i r="2">
      <x v="1"/>
    </i>
    <i r="2">
      <x v="2"/>
    </i>
    <i r="1">
      <x v="29"/>
      <x/>
    </i>
    <i r="2">
      <x v="1"/>
    </i>
    <i r="2">
      <x v="2"/>
    </i>
    <i r="1">
      <x v="30"/>
      <x/>
    </i>
    <i r="2">
      <x v="1"/>
    </i>
    <i r="2">
      <x v="2"/>
    </i>
    <i r="1">
      <x v="31"/>
      <x/>
    </i>
    <i r="2">
      <x v="1"/>
    </i>
    <i r="2">
      <x v="2"/>
    </i>
    <i r="1">
      <x v="32"/>
      <x/>
    </i>
    <i r="2">
      <x v="1"/>
    </i>
    <i r="2">
      <x v="2"/>
    </i>
    <i r="1">
      <x v="33"/>
      <x/>
    </i>
    <i r="2">
      <x v="1"/>
    </i>
    <i r="2">
      <x v="2"/>
    </i>
    <i r="1">
      <x v="34"/>
      <x/>
    </i>
    <i r="2">
      <x v="1"/>
    </i>
    <i r="2">
      <x v="2"/>
    </i>
    <i r="1">
      <x v="35"/>
      <x/>
    </i>
    <i r="2">
      <x v="1"/>
    </i>
    <i r="2">
      <x v="2"/>
    </i>
    <i>
      <x v="3"/>
      <x v="36"/>
      <x/>
    </i>
    <i r="2">
      <x v="1"/>
    </i>
    <i r="2">
      <x v="2"/>
    </i>
    <i r="1">
      <x v="37"/>
      <x/>
    </i>
    <i r="2">
      <x v="1"/>
    </i>
    <i r="2">
      <x v="2"/>
    </i>
    <i r="1">
      <x v="38"/>
      <x/>
    </i>
    <i r="2">
      <x v="1"/>
    </i>
    <i r="2">
      <x v="2"/>
    </i>
    <i r="1">
      <x v="39"/>
      <x/>
    </i>
    <i r="2">
      <x v="1"/>
    </i>
    <i r="2">
      <x v="2"/>
    </i>
    <i r="1">
      <x v="40"/>
      <x/>
    </i>
    <i r="2">
      <x v="1"/>
    </i>
    <i r="2">
      <x v="2"/>
    </i>
    <i r="1">
      <x v="41"/>
      <x/>
    </i>
    <i r="2">
      <x v="1"/>
    </i>
    <i r="2">
      <x v="2"/>
    </i>
    <i r="1">
      <x v="42"/>
      <x/>
    </i>
    <i r="2">
      <x v="1"/>
    </i>
    <i r="2">
      <x v="2"/>
    </i>
    <i r="1">
      <x v="43"/>
      <x/>
    </i>
    <i r="2">
      <x v="1"/>
    </i>
    <i r="2">
      <x v="2"/>
    </i>
  </rowItems>
  <colFields count="1">
    <field x="1"/>
  </colFields>
  <colItems count="4">
    <i>
      <x/>
    </i>
    <i>
      <x v="1"/>
    </i>
    <i>
      <x v="2"/>
    </i>
    <i>
      <x v="3"/>
    </i>
  </colItems>
  <dataFields count="1">
    <dataField name="Sum of Profit" fld="0"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6"/>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0DE92-6C0B-48D2-9351-C71BD810AC58}" name="PivotTable1" cacheId="102" applyNumberFormats="0" applyBorderFormats="0" applyFontFormats="0" applyPatternFormats="0" applyAlignmentFormats="0" applyWidthHeightFormats="1" dataCaption="Values" tag="bab9d747-e2c8-46b6-baba-2a7663eadb45" updatedVersion="8" minRefreshableVersion="3" useAutoFormatting="1" subtotalHiddenItems="1" rowGrandTotals="0" colGrandTotals="0" itemPrintTitles="1" createdVersion="5" indent="0" compact="0" compactData="0" multipleFieldFilters="0" chartFormat="4">
  <location ref="B3:F8" firstHeaderRow="1" firstDataRow="2" firstDataCol="1"/>
  <pivotFields count="5">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items count="4">
        <item c="1" x="0"/>
        <item c="1" x="1"/>
        <item c="1" x="2"/>
        <item c="1" x="3"/>
      </items>
    </pivotField>
    <pivotField axis="axisRow" compact="0" outline="0" subtotalTop="0" showAll="0" dataSourceSort="1" defaultSubtotal="0"/>
    <pivotField axis="axisRow" compact="0" outline="0" subtotalTop="0" showAll="0" dataSourceSort="1" defaultSubtotal="0"/>
  </pivotFields>
  <rowFields count="1">
    <field x="2"/>
  </rowFields>
  <rowItems count="4">
    <i>
      <x/>
    </i>
    <i>
      <x v="1"/>
    </i>
    <i>
      <x v="2"/>
    </i>
    <i>
      <x v="3"/>
    </i>
  </rowItems>
  <colFields count="1">
    <field x="1"/>
  </colFields>
  <colItems count="4">
    <i>
      <x/>
    </i>
    <i>
      <x v="1"/>
    </i>
    <i>
      <x v="2"/>
    </i>
    <i>
      <x v="3"/>
    </i>
  </colItems>
  <dataFields count="1">
    <dataField name="Sum of Profit" fld="0"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6FFC30-1665-4F08-B1E1-CE534B0C80A6}" name="PivotTable1" cacheId="98" applyNumberFormats="0" applyBorderFormats="0" applyFontFormats="0" applyPatternFormats="0" applyAlignmentFormats="0" applyWidthHeightFormats="1" dataCaption="Values" tag="65f4317e-d8e6-448a-9b14-cfbb31d2c78a" updatedVersion="8" minRefreshableVersion="3" useAutoFormatting="1" subtotalHiddenItems="1" rowGrandTotals="0" colGrandTotals="0" itemPrintTitles="1" createdVersion="5" indent="0" compact="0" compactData="0" multipleFieldFilters="0" chartFormat="5">
  <location ref="B3:F55" firstHeaderRow="0" firstDataRow="1" firstDataCol="2" rowPageCount="1" colPageCount="1"/>
  <pivotFields count="6">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sortType="descending"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autoSortScope>
        <pivotArea dataOnly="0" outline="0" fieldPosition="0">
          <references count="1">
            <reference field="4294967294" count="1" selected="0">
              <x v="2"/>
            </reference>
          </references>
        </pivotArea>
      </autoSortScope>
    </pivotField>
    <pivotField axis="axisRow" compact="0" allDrilled="1" outline="0" subtotalTop="0" showAll="0" dataSourceSort="1"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pivotField>
    <pivotField dataField="1" compact="0" outline="0" subtotalTop="0" showAll="0" defaultSubtotal="0"/>
    <pivotField dataField="1" compact="0" outline="0" subtotalTop="0" showAll="0" defaultSubtotal="0"/>
  </pivotFields>
  <rowFields count="2">
    <field x="2"/>
    <field x="3"/>
  </rowFields>
  <rowItems count="52">
    <i>
      <x v="9"/>
      <x v="7"/>
    </i>
    <i>
      <x v="15"/>
      <x v="12"/>
    </i>
    <i>
      <x v="3"/>
      <x v="1"/>
    </i>
    <i>
      <x v="20"/>
      <x v="16"/>
    </i>
    <i>
      <x v="18"/>
      <x v="1"/>
    </i>
    <i>
      <x v="41"/>
      <x v="35"/>
    </i>
    <i>
      <x v="12"/>
      <x v="10"/>
    </i>
    <i>
      <x v="47"/>
      <x v="41"/>
    </i>
    <i>
      <x v="33"/>
      <x v="28"/>
    </i>
    <i>
      <x v="26"/>
      <x v="21"/>
    </i>
    <i>
      <x v="29"/>
      <x v="24"/>
    </i>
    <i>
      <x v="16"/>
      <x v="13"/>
    </i>
    <i>
      <x v="6"/>
      <x v="5"/>
    </i>
    <i>
      <x v="2"/>
      <x v="2"/>
    </i>
    <i>
      <x v="44"/>
      <x v="38"/>
    </i>
    <i>
      <x v="48"/>
      <x v="42"/>
    </i>
    <i>
      <x v="30"/>
      <x v="25"/>
    </i>
    <i>
      <x v="28"/>
      <x v="23"/>
    </i>
    <i>
      <x v="23"/>
      <x v="18"/>
    </i>
    <i>
      <x v="34"/>
      <x v="29"/>
    </i>
    <i>
      <x v="1"/>
      <x v="1"/>
    </i>
    <i>
      <x v="5"/>
      <x v="4"/>
    </i>
    <i>
      <x v="19"/>
      <x v="15"/>
    </i>
    <i>
      <x v="8"/>
      <x v="1"/>
    </i>
    <i>
      <x v="22"/>
      <x v="1"/>
    </i>
    <i>
      <x v="35"/>
      <x v="30"/>
    </i>
    <i>
      <x v="21"/>
      <x v="17"/>
    </i>
    <i>
      <x v="14"/>
      <x v="1"/>
    </i>
    <i>
      <x v="4"/>
      <x v="3"/>
    </i>
    <i>
      <x v="17"/>
      <x v="14"/>
    </i>
    <i>
      <x v="25"/>
      <x v="20"/>
    </i>
    <i>
      <x v="10"/>
      <x v="8"/>
    </i>
    <i>
      <x v="38"/>
      <x v="32"/>
    </i>
    <i>
      <x/>
      <x/>
    </i>
    <i>
      <x v="45"/>
      <x v="39"/>
    </i>
    <i>
      <x v="49"/>
      <x v="43"/>
    </i>
    <i>
      <x v="32"/>
      <x v="27"/>
    </i>
    <i>
      <x v="51"/>
      <x v="45"/>
    </i>
    <i>
      <x v="37"/>
      <x v="1"/>
    </i>
    <i>
      <x v="27"/>
      <x v="22"/>
    </i>
    <i>
      <x v="46"/>
      <x v="40"/>
    </i>
    <i>
      <x v="43"/>
      <x v="37"/>
    </i>
    <i>
      <x v="7"/>
      <x v="6"/>
    </i>
    <i>
      <x v="40"/>
      <x v="34"/>
    </i>
    <i>
      <x v="13"/>
      <x v="11"/>
    </i>
    <i>
      <x v="36"/>
      <x v="31"/>
    </i>
    <i>
      <x v="42"/>
      <x v="36"/>
    </i>
    <i>
      <x v="31"/>
      <x v="26"/>
    </i>
    <i>
      <x v="24"/>
      <x v="19"/>
    </i>
    <i>
      <x v="50"/>
      <x v="44"/>
    </i>
    <i>
      <x v="11"/>
      <x v="9"/>
    </i>
    <i>
      <x v="39"/>
      <x v="33"/>
    </i>
  </rowItems>
  <colFields count="1">
    <field x="-2"/>
  </colFields>
  <colItems count="3">
    <i>
      <x/>
    </i>
    <i i="1">
      <x v="1"/>
    </i>
    <i i="2">
      <x v="2"/>
    </i>
  </colItems>
  <pageFields count="1">
    <pageField fld="1" hier="23" name="[orders].[Returning_customers_flag].&amp;[True]" cap="TRUE"/>
  </pageFields>
  <dataFields count="3">
    <dataField name="Sum of Profit" fld="0" baseField="0" baseItem="0"/>
    <dataField name="Count of Order ID" fld="4" subtotal="count" baseField="0" baseItem="0"/>
    <dataField fld="5"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3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368EB6EC-FFF1-4D7B-AB49-3D64575D2DA0}" sourceName="[products].[Roast Type]">
  <pivotTables>
    <pivotTable tabId="3" name="PivotTable1"/>
  </pivotTables>
  <data>
    <olap pivotCacheId="501553719">
      <levels count="2">
        <level uniqueName="[products].[Roast Type].[(All)]" sourceCaption="(All)" count="0"/>
        <level uniqueName="[products].[Roast Type].[Roast Type]" sourceCaption="Roast Type" count="3">
          <ranges>
            <range startItem="0">
              <i n="[products].[Roast Type].&amp;[D]" c="D"/>
              <i n="[products].[Roast Type].&amp;[L]" c="L"/>
              <i n="[products].[Roast Type].&amp;[M]" c="M"/>
            </range>
          </ranges>
        </level>
      </levels>
      <selections count="1">
        <selection n="[products].[Roas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272FCA1C-1438-4B04-BA6D-01DCAD17CCF8}" cache="Slicer_Roast_Type" caption="Roast Type" level="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CAF8-640C-49F2-BC63-3EA33E1630F6}">
  <dimension ref="B3:H136"/>
  <sheetViews>
    <sheetView zoomScale="135" workbookViewId="0">
      <selection activeCell="K9" sqref="K9"/>
    </sheetView>
  </sheetViews>
  <sheetFormatPr defaultRowHeight="14.25" x14ac:dyDescent="0.45"/>
  <cols>
    <col min="2" max="2" width="11.9296875" bestFit="1" customWidth="1"/>
    <col min="3" max="4" width="11.53125" bestFit="1" customWidth="1"/>
    <col min="5" max="5" width="12.3984375" bestFit="1" customWidth="1"/>
    <col min="6" max="8" width="6.265625" bestFit="1" customWidth="1"/>
  </cols>
  <sheetData>
    <row r="3" spans="2:8" x14ac:dyDescent="0.45">
      <c r="B3" s="2" t="s">
        <v>0</v>
      </c>
      <c r="E3" s="2" t="s">
        <v>8</v>
      </c>
    </row>
    <row r="4" spans="2:8" x14ac:dyDescent="0.45">
      <c r="B4" s="2" t="s">
        <v>9</v>
      </c>
      <c r="C4" s="2" t="s">
        <v>11</v>
      </c>
      <c r="D4" s="2" t="s">
        <v>10</v>
      </c>
      <c r="E4" t="s">
        <v>1</v>
      </c>
      <c r="F4" t="s">
        <v>2</v>
      </c>
      <c r="G4" t="s">
        <v>3</v>
      </c>
      <c r="H4" t="s">
        <v>4</v>
      </c>
    </row>
    <row r="5" spans="2:8" x14ac:dyDescent="0.45">
      <c r="B5" t="s">
        <v>12</v>
      </c>
      <c r="C5" t="s">
        <v>13</v>
      </c>
      <c r="D5" t="s">
        <v>6</v>
      </c>
      <c r="E5" s="3">
        <v>6.9930000000000003</v>
      </c>
      <c r="F5" s="3">
        <v>13.721399999999999</v>
      </c>
      <c r="G5" s="3">
        <v>18.956600000000002</v>
      </c>
      <c r="H5" s="3">
        <v>1.2906</v>
      </c>
    </row>
    <row r="6" spans="2:8" x14ac:dyDescent="0.45">
      <c r="D6" t="s">
        <v>7</v>
      </c>
      <c r="E6" s="3">
        <v>3.6450000000000005</v>
      </c>
      <c r="F6" s="3">
        <v>3.63</v>
      </c>
      <c r="G6" s="3"/>
      <c r="H6" s="3">
        <v>6.0894000000000004</v>
      </c>
    </row>
    <row r="7" spans="2:8" x14ac:dyDescent="0.45">
      <c r="D7" t="s">
        <v>5</v>
      </c>
      <c r="E7" s="3">
        <v>6.1789500000000004</v>
      </c>
      <c r="F7" s="3">
        <v>16.305299999999999</v>
      </c>
      <c r="G7" s="3">
        <v>8.7542000000000009</v>
      </c>
      <c r="H7" s="3"/>
    </row>
    <row r="8" spans="2:8" x14ac:dyDescent="0.45">
      <c r="C8" t="s">
        <v>14</v>
      </c>
      <c r="D8" t="s">
        <v>6</v>
      </c>
      <c r="E8" s="3">
        <v>14.102550000000001</v>
      </c>
      <c r="F8" s="3">
        <v>0.98009999999999997</v>
      </c>
      <c r="G8" s="3">
        <v>3.0907499999999999</v>
      </c>
      <c r="H8" s="3">
        <v>4.3019999999999996</v>
      </c>
    </row>
    <row r="9" spans="2:8" x14ac:dyDescent="0.45">
      <c r="D9" t="s">
        <v>7</v>
      </c>
      <c r="E9" s="3">
        <v>4.4550000000000001</v>
      </c>
      <c r="F9" s="3">
        <v>10.587499999999999</v>
      </c>
      <c r="G9" s="3">
        <v>8.8900500000000005</v>
      </c>
      <c r="H9" s="3"/>
    </row>
    <row r="10" spans="2:8" x14ac:dyDescent="0.45">
      <c r="D10" t="s">
        <v>5</v>
      </c>
      <c r="E10" s="3">
        <v>4.1193</v>
      </c>
      <c r="F10" s="3">
        <v>2.673</v>
      </c>
      <c r="G10" s="3">
        <v>44.444400000000002</v>
      </c>
      <c r="H10" s="3">
        <v>6.0144000000000002</v>
      </c>
    </row>
    <row r="11" spans="2:8" x14ac:dyDescent="0.45">
      <c r="C11" t="s">
        <v>15</v>
      </c>
      <c r="D11" t="s">
        <v>6</v>
      </c>
      <c r="E11" s="3">
        <v>5.3613</v>
      </c>
      <c r="F11" s="3">
        <v>3.9203999999999999</v>
      </c>
      <c r="G11" s="3">
        <v>11.1267</v>
      </c>
      <c r="H11" s="3">
        <v>5.5208999999999993</v>
      </c>
    </row>
    <row r="12" spans="2:8" x14ac:dyDescent="0.45">
      <c r="D12" t="s">
        <v>7</v>
      </c>
      <c r="E12" s="3">
        <v>14.883749999999999</v>
      </c>
      <c r="F12" s="3">
        <v>11.494999999999999</v>
      </c>
      <c r="G12" s="3">
        <v>24.211200000000002</v>
      </c>
      <c r="H12" s="3">
        <v>1.0746</v>
      </c>
    </row>
    <row r="13" spans="2:8" x14ac:dyDescent="0.45">
      <c r="D13" t="s">
        <v>5</v>
      </c>
      <c r="E13" s="3"/>
      <c r="F13" s="3">
        <v>22.9878</v>
      </c>
      <c r="G13" s="3">
        <v>6.3972999999999995</v>
      </c>
      <c r="H13" s="3">
        <v>0.9665999999999999</v>
      </c>
    </row>
    <row r="14" spans="2:8" x14ac:dyDescent="0.45">
      <c r="C14" t="s">
        <v>16</v>
      </c>
      <c r="D14" t="s">
        <v>6</v>
      </c>
      <c r="E14" s="3">
        <v>10.023299999999999</v>
      </c>
      <c r="F14" s="3">
        <v>62.889750000000006</v>
      </c>
      <c r="G14" s="3">
        <v>35.646650000000008</v>
      </c>
      <c r="H14" s="3">
        <v>5.4492000000000003</v>
      </c>
    </row>
    <row r="15" spans="2:8" x14ac:dyDescent="0.45">
      <c r="D15" t="s">
        <v>7</v>
      </c>
      <c r="E15" s="3">
        <v>17.6175</v>
      </c>
      <c r="F15" s="3"/>
      <c r="G15" s="3">
        <v>31.20975</v>
      </c>
      <c r="H15" s="3">
        <v>1.0746</v>
      </c>
    </row>
    <row r="16" spans="2:8" x14ac:dyDescent="0.45">
      <c r="D16" t="s">
        <v>5</v>
      </c>
      <c r="E16" s="3"/>
      <c r="F16" s="3">
        <v>12.028500000000001</v>
      </c>
      <c r="G16" s="3">
        <v>2.5252499999999998</v>
      </c>
      <c r="H16" s="3">
        <v>3.0072000000000001</v>
      </c>
    </row>
    <row r="17" spans="3:8" x14ac:dyDescent="0.45">
      <c r="C17" t="s">
        <v>17</v>
      </c>
      <c r="D17" t="s">
        <v>6</v>
      </c>
      <c r="E17" s="3">
        <v>2.68065</v>
      </c>
      <c r="F17" s="3">
        <v>8.3308499999999999</v>
      </c>
      <c r="G17" s="3">
        <v>18.956600000000002</v>
      </c>
      <c r="H17" s="3"/>
    </row>
    <row r="18" spans="3:8" x14ac:dyDescent="0.45">
      <c r="D18" t="s">
        <v>7</v>
      </c>
      <c r="E18" s="3"/>
      <c r="F18" s="3"/>
      <c r="G18" s="3">
        <v>6.2419500000000001</v>
      </c>
      <c r="H18" s="3">
        <v>2.1492</v>
      </c>
    </row>
    <row r="19" spans="3:8" x14ac:dyDescent="0.45">
      <c r="D19" t="s">
        <v>5</v>
      </c>
      <c r="E19" s="3">
        <v>2.1492</v>
      </c>
      <c r="F19" s="3">
        <v>0.80189999999999995</v>
      </c>
      <c r="G19" s="3"/>
      <c r="H19" s="3">
        <v>1.9331999999999998</v>
      </c>
    </row>
    <row r="20" spans="3:8" x14ac:dyDescent="0.45">
      <c r="C20" t="s">
        <v>18</v>
      </c>
      <c r="D20" t="s">
        <v>6</v>
      </c>
      <c r="E20" s="3">
        <v>0.69930000000000003</v>
      </c>
      <c r="F20" s="3">
        <v>37.570500000000003</v>
      </c>
      <c r="G20" s="3">
        <v>4.9451999999999998</v>
      </c>
      <c r="H20" s="3">
        <v>9.3209999999999997</v>
      </c>
    </row>
    <row r="21" spans="3:8" x14ac:dyDescent="0.45">
      <c r="D21" t="s">
        <v>7</v>
      </c>
      <c r="E21" s="3">
        <v>13.9725</v>
      </c>
      <c r="F21" s="3">
        <v>35.846249999999998</v>
      </c>
      <c r="G21" s="3">
        <v>5.6745000000000001</v>
      </c>
      <c r="H21" s="3">
        <v>1.7910000000000001</v>
      </c>
    </row>
    <row r="22" spans="3:8" x14ac:dyDescent="0.45">
      <c r="D22" t="s">
        <v>5</v>
      </c>
      <c r="E22" s="3"/>
      <c r="F22" s="3">
        <v>1.20285</v>
      </c>
      <c r="G22" s="3">
        <v>11.616150000000001</v>
      </c>
      <c r="H22" s="3">
        <v>11.223300000000002</v>
      </c>
    </row>
    <row r="23" spans="3:8" x14ac:dyDescent="0.45">
      <c r="C23" t="s">
        <v>19</v>
      </c>
      <c r="D23" t="s">
        <v>6</v>
      </c>
      <c r="E23" s="3">
        <v>11.888100000000001</v>
      </c>
      <c r="F23" s="3">
        <v>22.542300000000001</v>
      </c>
      <c r="G23" s="3">
        <v>22.253399999999999</v>
      </c>
      <c r="H23" s="3"/>
    </row>
    <row r="24" spans="3:8" x14ac:dyDescent="0.45">
      <c r="D24" t="s">
        <v>7</v>
      </c>
      <c r="E24" s="3"/>
      <c r="F24" s="3">
        <v>5.4450000000000003</v>
      </c>
      <c r="G24" s="3"/>
      <c r="H24" s="3">
        <v>4.1193</v>
      </c>
    </row>
    <row r="25" spans="3:8" x14ac:dyDescent="0.45">
      <c r="D25" t="s">
        <v>5</v>
      </c>
      <c r="E25" s="3">
        <v>19.163699999999999</v>
      </c>
      <c r="F25" s="3">
        <v>2.1383999999999999</v>
      </c>
      <c r="G25" s="3">
        <v>1.6835</v>
      </c>
      <c r="H25" s="3">
        <v>7.9476000000000004</v>
      </c>
    </row>
    <row r="26" spans="3:8" x14ac:dyDescent="0.45">
      <c r="C26" t="s">
        <v>20</v>
      </c>
      <c r="D26" t="s">
        <v>6</v>
      </c>
      <c r="E26" s="3">
        <v>19.930050000000001</v>
      </c>
      <c r="F26" s="3">
        <v>3.2669999999999999</v>
      </c>
      <c r="G26" s="3">
        <v>2.0605000000000002</v>
      </c>
      <c r="H26" s="3">
        <v>2.5811999999999999</v>
      </c>
    </row>
    <row r="27" spans="3:8" x14ac:dyDescent="0.45">
      <c r="D27" t="s">
        <v>7</v>
      </c>
      <c r="E27" s="3">
        <v>6.9862500000000001</v>
      </c>
      <c r="F27" s="3">
        <v>4.5374999999999996</v>
      </c>
      <c r="G27" s="3">
        <v>11.349</v>
      </c>
      <c r="H27" s="3">
        <v>4.6566000000000001</v>
      </c>
    </row>
    <row r="28" spans="3:8" x14ac:dyDescent="0.45">
      <c r="D28" t="s">
        <v>5</v>
      </c>
      <c r="E28" s="3">
        <v>3.2237999999999998</v>
      </c>
      <c r="F28" s="3"/>
      <c r="G28" s="3">
        <v>4.0404</v>
      </c>
      <c r="H28" s="3">
        <v>2.7386999999999997</v>
      </c>
    </row>
    <row r="29" spans="3:8" x14ac:dyDescent="0.45">
      <c r="C29" t="s">
        <v>21</v>
      </c>
      <c r="D29" t="s">
        <v>6</v>
      </c>
      <c r="E29" s="3">
        <v>16.0839</v>
      </c>
      <c r="F29" s="3">
        <v>9.8010000000000002</v>
      </c>
      <c r="G29" s="3">
        <v>22.253400000000003</v>
      </c>
      <c r="H29" s="3">
        <v>3.2982</v>
      </c>
    </row>
    <row r="30" spans="3:8" x14ac:dyDescent="0.45">
      <c r="D30" t="s">
        <v>7</v>
      </c>
      <c r="E30" s="3"/>
      <c r="F30" s="3">
        <v>8.4700000000000006</v>
      </c>
      <c r="G30" s="3">
        <v>26.102700000000002</v>
      </c>
      <c r="H30" s="3">
        <v>18.865200000000002</v>
      </c>
    </row>
    <row r="31" spans="3:8" x14ac:dyDescent="0.45">
      <c r="D31" t="s">
        <v>5</v>
      </c>
      <c r="E31" s="3"/>
      <c r="F31" s="3"/>
      <c r="G31" s="3">
        <v>8.7542000000000009</v>
      </c>
      <c r="H31" s="3">
        <v>7.4106000000000005</v>
      </c>
    </row>
    <row r="32" spans="3:8" x14ac:dyDescent="0.45">
      <c r="C32" t="s">
        <v>22</v>
      </c>
      <c r="D32" t="s">
        <v>6</v>
      </c>
      <c r="E32" s="3">
        <v>9.3239999999999998</v>
      </c>
      <c r="F32" s="3">
        <v>11.4345</v>
      </c>
      <c r="G32" s="3">
        <v>14.217450000000001</v>
      </c>
      <c r="H32" s="3">
        <v>9.8946000000000005</v>
      </c>
    </row>
    <row r="33" spans="2:8" x14ac:dyDescent="0.45">
      <c r="D33" t="s">
        <v>7</v>
      </c>
      <c r="E33" s="3">
        <v>15.795</v>
      </c>
      <c r="F33" s="3"/>
      <c r="G33" s="3"/>
      <c r="H33" s="3">
        <v>2.9253</v>
      </c>
    </row>
    <row r="34" spans="2:8" x14ac:dyDescent="0.45">
      <c r="D34" t="s">
        <v>5</v>
      </c>
      <c r="E34" s="3">
        <v>2.05965</v>
      </c>
      <c r="F34" s="3">
        <v>5.4796499999999995</v>
      </c>
      <c r="G34" s="3">
        <v>13.8047</v>
      </c>
      <c r="H34" s="3"/>
    </row>
    <row r="35" spans="2:8" x14ac:dyDescent="0.45">
      <c r="C35" t="s">
        <v>23</v>
      </c>
      <c r="D35" t="s">
        <v>6</v>
      </c>
      <c r="E35" s="3">
        <v>16.0839</v>
      </c>
      <c r="F35" s="3"/>
      <c r="G35" s="3">
        <v>24.313900000000004</v>
      </c>
      <c r="H35" s="3">
        <v>0.43020000000000003</v>
      </c>
    </row>
    <row r="36" spans="2:8" x14ac:dyDescent="0.45">
      <c r="D36" t="s">
        <v>7</v>
      </c>
      <c r="E36" s="3">
        <v>7.5937499999999991</v>
      </c>
      <c r="F36" s="3">
        <v>6.9574999999999996</v>
      </c>
      <c r="G36" s="3">
        <v>11.538150000000002</v>
      </c>
      <c r="H36" s="3">
        <v>3.5819999999999999</v>
      </c>
    </row>
    <row r="37" spans="2:8" x14ac:dyDescent="0.45">
      <c r="D37" t="s">
        <v>5</v>
      </c>
      <c r="E37" s="3">
        <v>4.4774999999999991</v>
      </c>
      <c r="F37" s="3"/>
      <c r="G37" s="3">
        <v>9.7643000000000004</v>
      </c>
      <c r="H37" s="3">
        <v>1.7721</v>
      </c>
    </row>
    <row r="38" spans="2:8" x14ac:dyDescent="0.45">
      <c r="C38" t="s">
        <v>24</v>
      </c>
      <c r="D38" t="s">
        <v>6</v>
      </c>
      <c r="E38" s="3">
        <v>0.34965000000000002</v>
      </c>
      <c r="F38" s="3">
        <v>57.009149999999998</v>
      </c>
      <c r="G38" s="3"/>
      <c r="H38" s="3">
        <v>11.4003</v>
      </c>
    </row>
    <row r="39" spans="2:8" x14ac:dyDescent="0.45">
      <c r="D39" t="s">
        <v>7</v>
      </c>
      <c r="E39" s="3">
        <v>23.287499999999998</v>
      </c>
      <c r="F39" s="3">
        <v>0.90749999999999997</v>
      </c>
      <c r="G39" s="3">
        <v>6.8094000000000001</v>
      </c>
      <c r="H39" s="3"/>
    </row>
    <row r="40" spans="2:8" x14ac:dyDescent="0.45">
      <c r="D40" t="s">
        <v>5</v>
      </c>
      <c r="E40" s="3">
        <v>0.26865</v>
      </c>
      <c r="F40" s="3"/>
      <c r="G40" s="3">
        <v>17.508400000000002</v>
      </c>
      <c r="H40" s="3">
        <v>1.2351000000000001</v>
      </c>
    </row>
    <row r="41" spans="2:8" x14ac:dyDescent="0.45">
      <c r="B41" t="s">
        <v>25</v>
      </c>
      <c r="C41" t="s">
        <v>13</v>
      </c>
      <c r="D41" t="s">
        <v>6</v>
      </c>
      <c r="E41" s="3"/>
      <c r="F41" s="3"/>
      <c r="G41" s="3">
        <v>13.599300000000001</v>
      </c>
      <c r="H41" s="3">
        <v>9.0342000000000002</v>
      </c>
    </row>
    <row r="42" spans="2:8" x14ac:dyDescent="0.45">
      <c r="D42" t="s">
        <v>7</v>
      </c>
      <c r="E42" s="3">
        <v>4.2525000000000004</v>
      </c>
      <c r="F42" s="3">
        <v>3.63</v>
      </c>
      <c r="G42" s="3">
        <v>6.6202500000000004</v>
      </c>
      <c r="H42" s="3">
        <v>1.0746</v>
      </c>
    </row>
    <row r="43" spans="2:8" x14ac:dyDescent="0.45">
      <c r="D43" t="s">
        <v>5</v>
      </c>
      <c r="E43" s="3"/>
      <c r="F43" s="3">
        <v>3.6085500000000001</v>
      </c>
      <c r="G43" s="3">
        <v>15.488200000000001</v>
      </c>
      <c r="H43" s="3">
        <v>0.64439999999999997</v>
      </c>
    </row>
    <row r="44" spans="2:8" x14ac:dyDescent="0.45">
      <c r="C44" t="s">
        <v>14</v>
      </c>
      <c r="D44" t="s">
        <v>6</v>
      </c>
      <c r="E44" s="3">
        <v>12.1212</v>
      </c>
      <c r="F44" s="3">
        <v>11.92455</v>
      </c>
      <c r="G44" s="3">
        <v>6.1814999999999998</v>
      </c>
      <c r="H44" s="3">
        <v>22.2987</v>
      </c>
    </row>
    <row r="45" spans="2:8" x14ac:dyDescent="0.45">
      <c r="D45" t="s">
        <v>7</v>
      </c>
      <c r="E45" s="3">
        <v>26.223750000000003</v>
      </c>
      <c r="F45" s="3">
        <v>8.9237499999999983</v>
      </c>
      <c r="G45" s="3">
        <v>3.4047000000000001</v>
      </c>
      <c r="H45" s="3">
        <v>1.0746</v>
      </c>
    </row>
    <row r="46" spans="2:8" x14ac:dyDescent="0.45">
      <c r="D46" t="s">
        <v>5</v>
      </c>
      <c r="E46" s="3">
        <v>28.745550000000001</v>
      </c>
      <c r="F46" s="3">
        <v>26.329049999999999</v>
      </c>
      <c r="G46" s="3">
        <v>15.656550000000001</v>
      </c>
      <c r="H46" s="3">
        <v>2.4164999999999996</v>
      </c>
    </row>
    <row r="47" spans="2:8" x14ac:dyDescent="0.45">
      <c r="C47" t="s">
        <v>15</v>
      </c>
      <c r="D47" t="s">
        <v>6</v>
      </c>
      <c r="E47" s="3">
        <v>4.1958000000000002</v>
      </c>
      <c r="F47" s="3">
        <v>9.1475999999999988</v>
      </c>
      <c r="G47" s="3">
        <v>8.2420000000000009</v>
      </c>
      <c r="H47" s="3"/>
    </row>
    <row r="48" spans="2:8" x14ac:dyDescent="0.45">
      <c r="D48" t="s">
        <v>7</v>
      </c>
      <c r="E48" s="3">
        <v>4.8600000000000003</v>
      </c>
      <c r="F48" s="3"/>
      <c r="G48" s="3">
        <v>7.9443000000000001</v>
      </c>
      <c r="H48" s="3">
        <v>13.253400000000001</v>
      </c>
    </row>
    <row r="49" spans="3:8" x14ac:dyDescent="0.45">
      <c r="D49" t="s">
        <v>5</v>
      </c>
      <c r="E49" s="3">
        <v>2.6865000000000001</v>
      </c>
      <c r="F49" s="3">
        <v>20.71575</v>
      </c>
      <c r="G49" s="3">
        <v>20.370350000000002</v>
      </c>
      <c r="H49" s="3">
        <v>0.64439999999999997</v>
      </c>
    </row>
    <row r="50" spans="3:8" x14ac:dyDescent="0.45">
      <c r="C50" t="s">
        <v>16</v>
      </c>
      <c r="D50" t="s">
        <v>6</v>
      </c>
      <c r="E50" s="3"/>
      <c r="F50" s="3">
        <v>5.8805999999999994</v>
      </c>
      <c r="G50" s="3">
        <v>3.0907499999999999</v>
      </c>
      <c r="H50" s="3"/>
    </row>
    <row r="51" spans="3:8" x14ac:dyDescent="0.45">
      <c r="D51" t="s">
        <v>7</v>
      </c>
      <c r="E51" s="3">
        <v>2.4300000000000002</v>
      </c>
      <c r="F51" s="3">
        <v>29.644999999999996</v>
      </c>
      <c r="G51" s="3">
        <v>10.02495</v>
      </c>
      <c r="H51" s="3">
        <v>8.6564999999999994</v>
      </c>
    </row>
    <row r="52" spans="3:8" x14ac:dyDescent="0.45">
      <c r="D52" t="s">
        <v>5</v>
      </c>
      <c r="E52" s="3"/>
      <c r="F52" s="3">
        <v>2.673</v>
      </c>
      <c r="G52" s="3">
        <v>6.0606</v>
      </c>
      <c r="H52" s="3">
        <v>5.7458999999999998</v>
      </c>
    </row>
    <row r="53" spans="3:8" x14ac:dyDescent="0.45">
      <c r="C53" t="s">
        <v>17</v>
      </c>
      <c r="D53" t="s">
        <v>6</v>
      </c>
      <c r="E53" s="3">
        <v>6.0606</v>
      </c>
      <c r="F53" s="3">
        <v>4.9005000000000001</v>
      </c>
      <c r="G53" s="3">
        <v>3.0907499999999999</v>
      </c>
      <c r="H53" s="3"/>
    </row>
    <row r="54" spans="3:8" x14ac:dyDescent="0.45">
      <c r="D54" t="s">
        <v>7</v>
      </c>
      <c r="E54" s="3">
        <v>10.631250000000001</v>
      </c>
      <c r="F54" s="3">
        <v>24.35125</v>
      </c>
      <c r="G54" s="3">
        <v>7.7551500000000004</v>
      </c>
      <c r="H54" s="3">
        <v>1.0746</v>
      </c>
    </row>
    <row r="55" spans="3:8" x14ac:dyDescent="0.45">
      <c r="D55" t="s">
        <v>5</v>
      </c>
      <c r="E55" s="3">
        <v>6.2684999999999995</v>
      </c>
      <c r="F55" s="3">
        <v>30.338550000000001</v>
      </c>
      <c r="G55" s="3"/>
      <c r="H55" s="3">
        <v>2.4702000000000002</v>
      </c>
    </row>
    <row r="56" spans="3:8" x14ac:dyDescent="0.45">
      <c r="C56" t="s">
        <v>18</v>
      </c>
      <c r="D56" t="s">
        <v>6</v>
      </c>
      <c r="E56" s="3">
        <v>20.396250000000002</v>
      </c>
      <c r="F56" s="3">
        <v>19.275300000000001</v>
      </c>
      <c r="G56" s="3">
        <v>20.605</v>
      </c>
      <c r="H56" s="3">
        <v>6.5964</v>
      </c>
    </row>
    <row r="57" spans="3:8" x14ac:dyDescent="0.45">
      <c r="D57" t="s">
        <v>7</v>
      </c>
      <c r="E57" s="3">
        <v>23.99625</v>
      </c>
      <c r="F57" s="3">
        <v>16.032499999999999</v>
      </c>
      <c r="G57" s="3"/>
      <c r="H57" s="3">
        <v>1.3731</v>
      </c>
    </row>
    <row r="58" spans="3:8" x14ac:dyDescent="0.45">
      <c r="D58" t="s">
        <v>5</v>
      </c>
      <c r="E58" s="3">
        <v>8.2385999999999999</v>
      </c>
      <c r="F58" s="3">
        <v>4.0095000000000001</v>
      </c>
      <c r="G58" s="3">
        <v>25.589199999999998</v>
      </c>
      <c r="H58" s="3">
        <v>0.48329999999999995</v>
      </c>
    </row>
    <row r="59" spans="3:8" x14ac:dyDescent="0.45">
      <c r="C59" t="s">
        <v>19</v>
      </c>
      <c r="D59" t="s">
        <v>6</v>
      </c>
      <c r="E59" s="3">
        <v>28.904399999999999</v>
      </c>
      <c r="F59" s="3">
        <v>4.9005000000000001</v>
      </c>
      <c r="G59" s="3">
        <v>17.102150000000002</v>
      </c>
      <c r="H59" s="3">
        <v>8.6039999999999992</v>
      </c>
    </row>
    <row r="60" spans="3:8" x14ac:dyDescent="0.45">
      <c r="D60" t="s">
        <v>7</v>
      </c>
      <c r="E60" s="3">
        <v>4.6575000000000006</v>
      </c>
      <c r="F60" s="3">
        <v>20.116250000000001</v>
      </c>
      <c r="G60" s="3">
        <v>13.6188</v>
      </c>
      <c r="H60" s="3"/>
    </row>
    <row r="61" spans="3:8" x14ac:dyDescent="0.45">
      <c r="D61" t="s">
        <v>5</v>
      </c>
      <c r="E61" s="3">
        <v>5.1938999999999993</v>
      </c>
      <c r="F61" s="3"/>
      <c r="G61" s="3"/>
      <c r="H61" s="3">
        <v>16.271100000000001</v>
      </c>
    </row>
    <row r="62" spans="3:8" x14ac:dyDescent="0.45">
      <c r="C62" t="s">
        <v>20</v>
      </c>
      <c r="D62" t="s">
        <v>6</v>
      </c>
      <c r="E62" s="3"/>
      <c r="F62" s="3">
        <v>3.9203999999999999</v>
      </c>
      <c r="G62" s="3">
        <v>6.1814999999999998</v>
      </c>
      <c r="H62" s="3">
        <v>2.1510000000000002</v>
      </c>
    </row>
    <row r="63" spans="3:8" x14ac:dyDescent="0.45">
      <c r="D63" t="s">
        <v>7</v>
      </c>
      <c r="E63" s="3">
        <v>2.0249999999999999</v>
      </c>
      <c r="F63" s="3">
        <v>3.0249999999999999</v>
      </c>
      <c r="G63" s="3"/>
      <c r="H63" s="3">
        <v>1.0746</v>
      </c>
    </row>
    <row r="64" spans="3:8" x14ac:dyDescent="0.45">
      <c r="D64" t="s">
        <v>5</v>
      </c>
      <c r="E64" s="3"/>
      <c r="F64" s="3">
        <v>1.6037999999999999</v>
      </c>
      <c r="G64" s="3">
        <v>1.6835</v>
      </c>
      <c r="H64" s="3">
        <v>5.1552000000000007</v>
      </c>
    </row>
    <row r="65" spans="2:8" x14ac:dyDescent="0.45">
      <c r="C65" t="s">
        <v>21</v>
      </c>
      <c r="D65" t="s">
        <v>6</v>
      </c>
      <c r="E65" s="3"/>
      <c r="F65" s="3">
        <v>5.8805999999999994</v>
      </c>
      <c r="G65" s="3">
        <v>1.2363</v>
      </c>
      <c r="H65" s="3">
        <v>12.906000000000001</v>
      </c>
    </row>
    <row r="66" spans="2:8" x14ac:dyDescent="0.45">
      <c r="D66" t="s">
        <v>7</v>
      </c>
      <c r="E66" s="3">
        <v>0.60750000000000004</v>
      </c>
      <c r="F66" s="3">
        <v>7.5625</v>
      </c>
      <c r="G66" s="3">
        <v>2.2698</v>
      </c>
      <c r="H66" s="3">
        <v>5.2536000000000005</v>
      </c>
    </row>
    <row r="67" spans="2:8" x14ac:dyDescent="0.45">
      <c r="D67" t="s">
        <v>5</v>
      </c>
      <c r="E67" s="3">
        <v>10.746</v>
      </c>
      <c r="F67" s="3">
        <v>8.0190000000000001</v>
      </c>
      <c r="G67" s="3">
        <v>8.0808</v>
      </c>
      <c r="H67" s="3"/>
    </row>
    <row r="68" spans="2:8" x14ac:dyDescent="0.45">
      <c r="C68" t="s">
        <v>22</v>
      </c>
      <c r="D68" t="s">
        <v>6</v>
      </c>
      <c r="E68" s="3"/>
      <c r="F68" s="3">
        <v>27.279450000000001</v>
      </c>
      <c r="G68" s="3">
        <v>15.247700000000002</v>
      </c>
      <c r="H68" s="3">
        <v>10.4682</v>
      </c>
    </row>
    <row r="69" spans="2:8" x14ac:dyDescent="0.45">
      <c r="D69" t="s">
        <v>7</v>
      </c>
      <c r="E69" s="3">
        <v>23.186250000000001</v>
      </c>
      <c r="F69" s="3">
        <v>17.8475</v>
      </c>
      <c r="G69" s="3">
        <v>7.5659999999999998</v>
      </c>
      <c r="H69" s="3"/>
    </row>
    <row r="70" spans="2:8" x14ac:dyDescent="0.45">
      <c r="D70" t="s">
        <v>5</v>
      </c>
      <c r="E70" s="3">
        <v>10.65645</v>
      </c>
      <c r="F70" s="3">
        <v>12.429449999999999</v>
      </c>
      <c r="G70" s="3">
        <v>34.511749999999999</v>
      </c>
      <c r="H70" s="3"/>
    </row>
    <row r="71" spans="2:8" x14ac:dyDescent="0.45">
      <c r="C71" t="s">
        <v>23</v>
      </c>
      <c r="D71" t="s">
        <v>6</v>
      </c>
      <c r="E71" s="3">
        <v>16.899750000000001</v>
      </c>
      <c r="F71" s="3">
        <v>0.98009999999999997</v>
      </c>
      <c r="G71" s="3">
        <v>24.519950000000001</v>
      </c>
      <c r="H71" s="3">
        <v>1.6491</v>
      </c>
    </row>
    <row r="72" spans="2:8" x14ac:dyDescent="0.45">
      <c r="D72" t="s">
        <v>7</v>
      </c>
      <c r="E72" s="3">
        <v>23.287500000000001</v>
      </c>
      <c r="F72" s="3"/>
      <c r="G72" s="3">
        <v>5.1070500000000001</v>
      </c>
      <c r="H72" s="3">
        <v>2.9849999999999999</v>
      </c>
    </row>
    <row r="73" spans="2:8" x14ac:dyDescent="0.45">
      <c r="D73" t="s">
        <v>5</v>
      </c>
      <c r="E73" s="3">
        <v>6.1789500000000004</v>
      </c>
      <c r="F73" s="3">
        <v>14.701499999999999</v>
      </c>
      <c r="G73" s="3">
        <v>15.488200000000001</v>
      </c>
      <c r="H73" s="3">
        <v>1.611</v>
      </c>
    </row>
    <row r="74" spans="2:8" x14ac:dyDescent="0.45">
      <c r="C74" t="s">
        <v>24</v>
      </c>
      <c r="D74" t="s">
        <v>6</v>
      </c>
      <c r="E74" s="3">
        <v>2.331</v>
      </c>
      <c r="F74" s="3">
        <v>23.522400000000001</v>
      </c>
      <c r="G74" s="3">
        <v>6.1815000000000007</v>
      </c>
      <c r="H74" s="3"/>
    </row>
    <row r="75" spans="2:8" x14ac:dyDescent="0.45">
      <c r="D75" t="s">
        <v>7</v>
      </c>
      <c r="E75" s="3">
        <v>3.3412500000000005</v>
      </c>
      <c r="F75" s="3">
        <v>8.0162499999999994</v>
      </c>
      <c r="G75" s="3"/>
      <c r="H75" s="3">
        <v>3.8208000000000002</v>
      </c>
    </row>
    <row r="76" spans="2:8" x14ac:dyDescent="0.45">
      <c r="D76" t="s">
        <v>5</v>
      </c>
      <c r="E76" s="3">
        <v>2.9551499999999997</v>
      </c>
      <c r="F76" s="3">
        <v>21.784949999999998</v>
      </c>
      <c r="G76" s="3">
        <v>6.0606</v>
      </c>
      <c r="H76" s="3">
        <v>0.80549999999999999</v>
      </c>
    </row>
    <row r="77" spans="2:8" x14ac:dyDescent="0.45">
      <c r="B77" t="s">
        <v>26</v>
      </c>
      <c r="C77" t="s">
        <v>13</v>
      </c>
      <c r="D77" t="s">
        <v>6</v>
      </c>
      <c r="E77" s="3">
        <v>2.0979000000000001</v>
      </c>
      <c r="F77" s="3">
        <v>6.5339999999999998</v>
      </c>
      <c r="G77" s="3">
        <v>16.690049999999999</v>
      </c>
      <c r="H77" s="3">
        <v>0.21510000000000001</v>
      </c>
    </row>
    <row r="78" spans="2:8" x14ac:dyDescent="0.45">
      <c r="D78" t="s">
        <v>7</v>
      </c>
      <c r="E78" s="3">
        <v>19.541249999999998</v>
      </c>
      <c r="F78" s="3">
        <v>3.4787499999999998</v>
      </c>
      <c r="G78" s="3">
        <v>5.6745000000000001</v>
      </c>
      <c r="H78" s="3">
        <v>9.0744000000000007</v>
      </c>
    </row>
    <row r="79" spans="2:8" x14ac:dyDescent="0.45">
      <c r="D79" t="s">
        <v>5</v>
      </c>
      <c r="E79" s="3">
        <v>1.6118999999999999</v>
      </c>
      <c r="F79" s="3">
        <v>5.3460000000000001</v>
      </c>
      <c r="G79" s="3">
        <v>13.973049999999999</v>
      </c>
      <c r="H79" s="3">
        <v>0.32219999999999999</v>
      </c>
    </row>
    <row r="80" spans="2:8" x14ac:dyDescent="0.45">
      <c r="C80" t="s">
        <v>14</v>
      </c>
      <c r="D80" t="s">
        <v>6</v>
      </c>
      <c r="E80" s="3">
        <v>7.6923000000000004</v>
      </c>
      <c r="F80" s="3">
        <v>4.41045</v>
      </c>
      <c r="G80" s="3">
        <v>13.187200000000001</v>
      </c>
      <c r="H80" s="3"/>
    </row>
    <row r="81" spans="3:8" x14ac:dyDescent="0.45">
      <c r="D81" t="s">
        <v>7</v>
      </c>
      <c r="E81" s="3">
        <v>9.3149999999999995</v>
      </c>
      <c r="F81" s="3">
        <v>4.5374999999999996</v>
      </c>
      <c r="G81" s="3">
        <v>15.510300000000001</v>
      </c>
      <c r="H81" s="3"/>
    </row>
    <row r="82" spans="3:8" x14ac:dyDescent="0.45">
      <c r="D82" t="s">
        <v>5</v>
      </c>
      <c r="E82" s="3">
        <v>13.790699999999999</v>
      </c>
      <c r="F82" s="3">
        <v>22.31955</v>
      </c>
      <c r="G82" s="3">
        <v>4.0404</v>
      </c>
      <c r="H82" s="3">
        <v>4.8330000000000002</v>
      </c>
    </row>
    <row r="83" spans="3:8" x14ac:dyDescent="0.45">
      <c r="C83" t="s">
        <v>15</v>
      </c>
      <c r="D83" t="s">
        <v>6</v>
      </c>
      <c r="E83" s="3">
        <v>26.223749999999999</v>
      </c>
      <c r="F83" s="3">
        <v>17.315100000000001</v>
      </c>
      <c r="G83" s="3">
        <v>14.217450000000001</v>
      </c>
      <c r="H83" s="3">
        <v>4.9473000000000003</v>
      </c>
    </row>
    <row r="84" spans="3:8" x14ac:dyDescent="0.45">
      <c r="D84" t="s">
        <v>7</v>
      </c>
      <c r="E84" s="3">
        <v>1.2150000000000001</v>
      </c>
      <c r="F84" s="3">
        <v>30.703749999999999</v>
      </c>
      <c r="G84" s="3">
        <v>21.941400000000002</v>
      </c>
      <c r="H84" s="3">
        <v>5.7312000000000003</v>
      </c>
    </row>
    <row r="85" spans="3:8" x14ac:dyDescent="0.45">
      <c r="D85" t="s">
        <v>5</v>
      </c>
      <c r="E85" s="3">
        <v>10.2087</v>
      </c>
      <c r="F85" s="3">
        <v>3.4748999999999999</v>
      </c>
      <c r="G85" s="3">
        <v>16.4983</v>
      </c>
      <c r="H85" s="3">
        <v>4.5107999999999997</v>
      </c>
    </row>
    <row r="86" spans="3:8" x14ac:dyDescent="0.45">
      <c r="C86" t="s">
        <v>16</v>
      </c>
      <c r="D86" t="s">
        <v>6</v>
      </c>
      <c r="E86" s="3">
        <v>1.3986000000000001</v>
      </c>
      <c r="F86" s="3">
        <v>0.98009999999999997</v>
      </c>
      <c r="G86" s="3">
        <v>60.784750000000003</v>
      </c>
      <c r="H86" s="3">
        <v>1.4339999999999999</v>
      </c>
    </row>
    <row r="87" spans="3:8" x14ac:dyDescent="0.45">
      <c r="D87" t="s">
        <v>7</v>
      </c>
      <c r="E87" s="3">
        <v>4.05</v>
      </c>
      <c r="F87" s="3">
        <v>16.032499999999999</v>
      </c>
      <c r="G87" s="3">
        <v>11.349</v>
      </c>
      <c r="H87" s="3"/>
    </row>
    <row r="88" spans="3:8" x14ac:dyDescent="0.45">
      <c r="D88" t="s">
        <v>5</v>
      </c>
      <c r="E88" s="3">
        <v>3.7610999999999999</v>
      </c>
      <c r="F88" s="3">
        <v>9.6227999999999998</v>
      </c>
      <c r="G88" s="3"/>
      <c r="H88" s="3">
        <v>4.9404000000000003</v>
      </c>
    </row>
    <row r="89" spans="3:8" x14ac:dyDescent="0.45">
      <c r="C89" t="s">
        <v>17</v>
      </c>
      <c r="D89" t="s">
        <v>6</v>
      </c>
      <c r="E89" s="3">
        <v>2.0979000000000001</v>
      </c>
      <c r="F89" s="3">
        <v>5.8805999999999994</v>
      </c>
      <c r="G89" s="3">
        <v>13.187200000000001</v>
      </c>
      <c r="H89" s="3">
        <v>13.264500000000002</v>
      </c>
    </row>
    <row r="90" spans="3:8" x14ac:dyDescent="0.45">
      <c r="D90" t="s">
        <v>7</v>
      </c>
      <c r="E90" s="3">
        <v>17.414999999999999</v>
      </c>
      <c r="F90" s="3">
        <v>6.3524999999999991</v>
      </c>
      <c r="G90" s="3"/>
      <c r="H90" s="3">
        <v>0.35820000000000002</v>
      </c>
    </row>
    <row r="91" spans="3:8" x14ac:dyDescent="0.45">
      <c r="D91" t="s">
        <v>5</v>
      </c>
      <c r="E91" s="3">
        <v>1.6118999999999999</v>
      </c>
      <c r="F91" s="3">
        <v>2.4056999999999999</v>
      </c>
      <c r="G91" s="3">
        <v>21.5488</v>
      </c>
      <c r="H91" s="3">
        <v>2.7386999999999997</v>
      </c>
    </row>
    <row r="92" spans="3:8" x14ac:dyDescent="0.45">
      <c r="C92" t="s">
        <v>18</v>
      </c>
      <c r="D92" t="s">
        <v>6</v>
      </c>
      <c r="E92" s="3">
        <v>10.256400000000001</v>
      </c>
      <c r="F92" s="3">
        <v>2.45025</v>
      </c>
      <c r="G92" s="3"/>
      <c r="H92" s="3">
        <v>1.0755000000000001</v>
      </c>
    </row>
    <row r="93" spans="3:8" x14ac:dyDescent="0.45">
      <c r="D93" t="s">
        <v>7</v>
      </c>
      <c r="E93" s="3">
        <v>9.3149999999999995</v>
      </c>
      <c r="F93" s="3">
        <v>8.9237500000000001</v>
      </c>
      <c r="G93" s="3">
        <v>2.83725</v>
      </c>
      <c r="H93" s="3">
        <v>0.35820000000000002</v>
      </c>
    </row>
    <row r="94" spans="3:8" x14ac:dyDescent="0.45">
      <c r="D94" t="s">
        <v>5</v>
      </c>
      <c r="E94" s="3">
        <v>19.163700000000002</v>
      </c>
      <c r="F94" s="3">
        <v>3.6085500000000001</v>
      </c>
      <c r="G94" s="3">
        <v>24.41075</v>
      </c>
      <c r="H94" s="3">
        <v>3.8664000000000001</v>
      </c>
    </row>
    <row r="95" spans="3:8" x14ac:dyDescent="0.45">
      <c r="C95" t="s">
        <v>19</v>
      </c>
      <c r="D95" t="s">
        <v>6</v>
      </c>
      <c r="E95" s="3">
        <v>2.7972000000000001</v>
      </c>
      <c r="F95" s="3">
        <v>5.3905499999999993</v>
      </c>
      <c r="G95" s="3">
        <v>6.7996499999999997</v>
      </c>
      <c r="H95" s="3">
        <v>8.7474000000000007</v>
      </c>
    </row>
    <row r="96" spans="3:8" x14ac:dyDescent="0.45">
      <c r="D96" t="s">
        <v>7</v>
      </c>
      <c r="E96" s="3">
        <v>5.67</v>
      </c>
      <c r="F96" s="3">
        <v>24.805</v>
      </c>
      <c r="G96" s="3">
        <v>1.1349</v>
      </c>
      <c r="H96" s="3"/>
    </row>
    <row r="97" spans="3:8" x14ac:dyDescent="0.45">
      <c r="D97" t="s">
        <v>5</v>
      </c>
      <c r="E97" s="3">
        <v>1.3432500000000001</v>
      </c>
      <c r="F97" s="3">
        <v>13.0977</v>
      </c>
      <c r="G97" s="3"/>
      <c r="H97" s="3">
        <v>3.2220000000000004</v>
      </c>
    </row>
    <row r="98" spans="3:8" x14ac:dyDescent="0.45">
      <c r="C98" t="s">
        <v>20</v>
      </c>
      <c r="D98" t="s">
        <v>6</v>
      </c>
      <c r="E98" s="3">
        <v>8.0419499999999999</v>
      </c>
      <c r="F98" s="3">
        <v>2.9402999999999997</v>
      </c>
      <c r="G98" s="3">
        <v>3.7088999999999999</v>
      </c>
      <c r="H98" s="3">
        <v>6.8831999999999987</v>
      </c>
    </row>
    <row r="99" spans="3:8" x14ac:dyDescent="0.45">
      <c r="D99" t="s">
        <v>7</v>
      </c>
      <c r="E99" s="3">
        <v>16.4025</v>
      </c>
      <c r="F99" s="3">
        <v>13.31</v>
      </c>
      <c r="G99" s="3">
        <v>7.5659999999999998</v>
      </c>
      <c r="H99" s="3">
        <v>6.8654999999999999</v>
      </c>
    </row>
    <row r="100" spans="3:8" x14ac:dyDescent="0.45">
      <c r="D100" t="s">
        <v>5</v>
      </c>
      <c r="E100" s="3">
        <v>1.4327999999999999</v>
      </c>
      <c r="F100" s="3">
        <v>15.503399999999999</v>
      </c>
      <c r="G100" s="3">
        <v>5.0504999999999995</v>
      </c>
      <c r="H100" s="3">
        <v>8.6994000000000007</v>
      </c>
    </row>
    <row r="101" spans="3:8" x14ac:dyDescent="0.45">
      <c r="C101" t="s">
        <v>21</v>
      </c>
      <c r="D101" t="s">
        <v>6</v>
      </c>
      <c r="E101" s="3">
        <v>25.874100000000002</v>
      </c>
      <c r="F101" s="3">
        <v>17.968499999999999</v>
      </c>
      <c r="G101" s="3"/>
      <c r="H101" s="3">
        <v>10.898399999999999</v>
      </c>
    </row>
    <row r="102" spans="3:8" x14ac:dyDescent="0.45">
      <c r="D102" t="s">
        <v>7</v>
      </c>
      <c r="E102" s="3">
        <v>21.87</v>
      </c>
      <c r="F102" s="3">
        <v>9.0749999999999993</v>
      </c>
      <c r="G102" s="3">
        <v>9.6466500000000011</v>
      </c>
      <c r="H102" s="3">
        <v>2.3879999999999999</v>
      </c>
    </row>
    <row r="103" spans="3:8" x14ac:dyDescent="0.45">
      <c r="D103" t="s">
        <v>5</v>
      </c>
      <c r="E103" s="3">
        <v>27.939599999999995</v>
      </c>
      <c r="F103" s="3">
        <v>18.042750000000002</v>
      </c>
      <c r="G103" s="3">
        <v>12.626250000000001</v>
      </c>
      <c r="H103" s="3"/>
    </row>
    <row r="104" spans="3:8" x14ac:dyDescent="0.45">
      <c r="C104" t="s">
        <v>22</v>
      </c>
      <c r="D104" t="s">
        <v>6</v>
      </c>
      <c r="E104" s="3">
        <v>0.34965000000000002</v>
      </c>
      <c r="F104" s="3">
        <v>7.5141</v>
      </c>
      <c r="G104" s="3">
        <v>16.896100000000001</v>
      </c>
      <c r="H104" s="3">
        <v>5.3057999999999996</v>
      </c>
    </row>
    <row r="105" spans="3:8" x14ac:dyDescent="0.45">
      <c r="D105" t="s">
        <v>7</v>
      </c>
      <c r="E105" s="3">
        <v>7.4925000000000006</v>
      </c>
      <c r="F105" s="3">
        <v>14.973749999999999</v>
      </c>
      <c r="G105" s="3">
        <v>20.049900000000001</v>
      </c>
      <c r="H105" s="3">
        <v>7.8207000000000004</v>
      </c>
    </row>
    <row r="106" spans="3:8" x14ac:dyDescent="0.45">
      <c r="D106" t="s">
        <v>5</v>
      </c>
      <c r="E106" s="3">
        <v>19.074149999999999</v>
      </c>
      <c r="F106" s="3">
        <v>6.1478999999999999</v>
      </c>
      <c r="G106" s="3">
        <v>39.057200000000002</v>
      </c>
      <c r="H106" s="3">
        <v>2.2553999999999998</v>
      </c>
    </row>
    <row r="107" spans="3:8" x14ac:dyDescent="0.45">
      <c r="C107" t="s">
        <v>23</v>
      </c>
      <c r="D107" t="s">
        <v>6</v>
      </c>
      <c r="E107" s="3">
        <v>8.0419499999999999</v>
      </c>
      <c r="F107" s="3">
        <v>17.968500000000002</v>
      </c>
      <c r="G107" s="3">
        <v>11.5388</v>
      </c>
      <c r="H107" s="3">
        <v>2.1510000000000002</v>
      </c>
    </row>
    <row r="108" spans="3:8" x14ac:dyDescent="0.45">
      <c r="D108" t="s">
        <v>7</v>
      </c>
      <c r="E108" s="3">
        <v>7.0875000000000004</v>
      </c>
      <c r="F108" s="3">
        <v>26.468749999999996</v>
      </c>
      <c r="G108" s="3">
        <v>31.777200000000001</v>
      </c>
      <c r="H108" s="3">
        <v>8.8952999999999989</v>
      </c>
    </row>
    <row r="109" spans="3:8" x14ac:dyDescent="0.45">
      <c r="D109" t="s">
        <v>5</v>
      </c>
      <c r="E109" s="3">
        <v>13.969800000000001</v>
      </c>
      <c r="F109" s="3">
        <v>17.775449999999999</v>
      </c>
      <c r="G109" s="3">
        <v>26.599299999999999</v>
      </c>
      <c r="H109" s="3">
        <v>0.32219999999999999</v>
      </c>
    </row>
    <row r="110" spans="3:8" x14ac:dyDescent="0.45">
      <c r="C110" t="s">
        <v>24</v>
      </c>
      <c r="D110" t="s">
        <v>6</v>
      </c>
      <c r="E110" s="3">
        <v>30.069900000000004</v>
      </c>
      <c r="F110" s="3"/>
      <c r="G110" s="3">
        <v>20.192900000000002</v>
      </c>
      <c r="H110" s="3">
        <v>11.1135</v>
      </c>
    </row>
    <row r="111" spans="3:8" x14ac:dyDescent="0.45">
      <c r="D111" t="s">
        <v>7</v>
      </c>
      <c r="E111" s="3">
        <v>3.6450000000000005</v>
      </c>
      <c r="F111" s="3">
        <v>2.2687499999999998</v>
      </c>
      <c r="G111" s="3">
        <v>21.184800000000003</v>
      </c>
      <c r="H111" s="3"/>
    </row>
    <row r="112" spans="3:8" x14ac:dyDescent="0.45">
      <c r="D112" t="s">
        <v>5</v>
      </c>
      <c r="E112" s="3">
        <v>2.2387499999999996</v>
      </c>
      <c r="F112" s="3">
        <v>14.033249999999999</v>
      </c>
      <c r="G112" s="3">
        <v>9.0908999999999995</v>
      </c>
      <c r="H112" s="3">
        <v>1.6110000000000002</v>
      </c>
    </row>
    <row r="113" spans="2:8" x14ac:dyDescent="0.45">
      <c r="B113" t="s">
        <v>27</v>
      </c>
      <c r="C113" t="s">
        <v>13</v>
      </c>
      <c r="D113" t="s">
        <v>6</v>
      </c>
      <c r="E113" s="3">
        <v>2.4475500000000001</v>
      </c>
      <c r="F113" s="3">
        <v>9.4742999999999995</v>
      </c>
      <c r="G113" s="3">
        <v>41.622100000000003</v>
      </c>
      <c r="H113" s="3">
        <v>3.3698999999999999</v>
      </c>
    </row>
    <row r="114" spans="2:8" x14ac:dyDescent="0.45">
      <c r="D114" t="s">
        <v>7</v>
      </c>
      <c r="E114" s="3">
        <v>7.6950000000000003</v>
      </c>
      <c r="F114" s="3"/>
      <c r="G114" s="3">
        <v>44.82855</v>
      </c>
      <c r="H114" s="3">
        <v>2.7462</v>
      </c>
    </row>
    <row r="115" spans="2:8" x14ac:dyDescent="0.45">
      <c r="D115" t="s">
        <v>5</v>
      </c>
      <c r="E115" s="3"/>
      <c r="F115" s="3">
        <v>8.8209</v>
      </c>
      <c r="G115" s="3">
        <v>23.232300000000002</v>
      </c>
      <c r="H115" s="3">
        <v>2.6850000000000001</v>
      </c>
    </row>
    <row r="116" spans="2:8" x14ac:dyDescent="0.45">
      <c r="C116" t="s">
        <v>14</v>
      </c>
      <c r="D116" t="s">
        <v>6</v>
      </c>
      <c r="E116" s="3">
        <v>4.4289000000000005</v>
      </c>
      <c r="F116" s="3"/>
      <c r="G116" s="3">
        <v>8.4480500000000003</v>
      </c>
      <c r="H116" s="3">
        <v>2.1509999999999998</v>
      </c>
    </row>
    <row r="117" spans="2:8" x14ac:dyDescent="0.45">
      <c r="D117" t="s">
        <v>7</v>
      </c>
      <c r="E117" s="3"/>
      <c r="F117" s="3">
        <v>5.8987500000000006</v>
      </c>
      <c r="G117" s="3">
        <v>3.4047000000000001</v>
      </c>
      <c r="H117" s="3">
        <v>1.0746</v>
      </c>
    </row>
    <row r="118" spans="2:8" x14ac:dyDescent="0.45">
      <c r="D118" t="s">
        <v>5</v>
      </c>
      <c r="E118" s="3">
        <v>5.9102999999999994</v>
      </c>
      <c r="F118" s="3">
        <v>8.8209</v>
      </c>
      <c r="G118" s="3"/>
      <c r="H118" s="3"/>
    </row>
    <row r="119" spans="2:8" x14ac:dyDescent="0.45">
      <c r="C119" t="s">
        <v>15</v>
      </c>
      <c r="D119" t="s">
        <v>6</v>
      </c>
      <c r="E119" s="3">
        <v>18.99765</v>
      </c>
      <c r="F119" s="3">
        <v>16.17165</v>
      </c>
      <c r="G119" s="3">
        <v>18.132400000000001</v>
      </c>
      <c r="H119" s="3">
        <v>15.1287</v>
      </c>
    </row>
    <row r="120" spans="2:8" x14ac:dyDescent="0.45">
      <c r="D120" t="s">
        <v>7</v>
      </c>
      <c r="E120" s="3">
        <v>4.6574999999999998</v>
      </c>
      <c r="F120" s="3">
        <v>2.7225000000000001</v>
      </c>
      <c r="G120" s="3">
        <v>23.643750000000004</v>
      </c>
      <c r="H120" s="3">
        <v>0.35820000000000002</v>
      </c>
    </row>
    <row r="121" spans="2:8" x14ac:dyDescent="0.45">
      <c r="D121" t="s">
        <v>5</v>
      </c>
      <c r="E121" s="3">
        <v>1.3432500000000001</v>
      </c>
      <c r="F121" s="3">
        <v>0.40094999999999997</v>
      </c>
      <c r="G121" s="3">
        <v>18.350149999999999</v>
      </c>
      <c r="H121" s="3">
        <v>8.4846000000000004</v>
      </c>
    </row>
    <row r="122" spans="2:8" x14ac:dyDescent="0.45">
      <c r="C122" t="s">
        <v>16</v>
      </c>
      <c r="D122" t="s">
        <v>6</v>
      </c>
      <c r="E122" s="3">
        <v>5.5944000000000003</v>
      </c>
      <c r="F122" s="3">
        <v>22.869</v>
      </c>
      <c r="G122" s="3">
        <v>4.9451999999999998</v>
      </c>
      <c r="H122" s="3">
        <v>1.7208000000000001</v>
      </c>
    </row>
    <row r="123" spans="2:8" x14ac:dyDescent="0.45">
      <c r="D123" t="s">
        <v>7</v>
      </c>
      <c r="E123" s="3">
        <v>11.947499999999998</v>
      </c>
      <c r="F123" s="3">
        <v>2.7225000000000001</v>
      </c>
      <c r="G123" s="3"/>
      <c r="H123" s="3">
        <v>3.5819999999999999</v>
      </c>
    </row>
    <row r="124" spans="2:8" x14ac:dyDescent="0.45">
      <c r="D124" t="s">
        <v>5</v>
      </c>
      <c r="E124" s="3">
        <v>0.26865</v>
      </c>
      <c r="F124" s="3">
        <v>6.2815499999999993</v>
      </c>
      <c r="G124" s="3">
        <v>6.5656499999999998</v>
      </c>
      <c r="H124" s="3">
        <v>6.7125000000000004</v>
      </c>
    </row>
    <row r="125" spans="2:8" x14ac:dyDescent="0.45">
      <c r="C125" t="s">
        <v>17</v>
      </c>
      <c r="D125" t="s">
        <v>6</v>
      </c>
      <c r="E125" s="3">
        <v>4.1958000000000002</v>
      </c>
      <c r="F125" s="3">
        <v>8.6575500000000005</v>
      </c>
      <c r="G125" s="3">
        <v>10.920650000000002</v>
      </c>
      <c r="H125" s="3">
        <v>6.5964</v>
      </c>
    </row>
    <row r="126" spans="2:8" x14ac:dyDescent="0.45">
      <c r="D126" t="s">
        <v>7</v>
      </c>
      <c r="E126" s="3">
        <v>6.3787500000000001</v>
      </c>
      <c r="F126" s="3">
        <v>13.914999999999999</v>
      </c>
      <c r="G126" s="3">
        <v>21.184800000000003</v>
      </c>
      <c r="H126" s="3">
        <v>1.7910000000000001</v>
      </c>
    </row>
    <row r="127" spans="2:8" x14ac:dyDescent="0.45">
      <c r="D127" t="s">
        <v>5</v>
      </c>
      <c r="E127" s="3">
        <v>6.8057999999999996</v>
      </c>
      <c r="F127" s="3">
        <v>0.80189999999999995</v>
      </c>
      <c r="G127" s="3">
        <v>5.8922500000000007</v>
      </c>
      <c r="H127" s="3">
        <v>9.8808000000000007</v>
      </c>
    </row>
    <row r="128" spans="2:8" x14ac:dyDescent="0.45">
      <c r="C128" t="s">
        <v>18</v>
      </c>
      <c r="D128" t="s">
        <v>6</v>
      </c>
      <c r="E128" s="3">
        <v>4.1958000000000002</v>
      </c>
      <c r="F128" s="3">
        <v>25.482600000000001</v>
      </c>
      <c r="G128" s="3">
        <v>18.956600000000002</v>
      </c>
      <c r="H128" s="3">
        <v>0.43020000000000003</v>
      </c>
    </row>
    <row r="129" spans="3:8" x14ac:dyDescent="0.45">
      <c r="D129" t="s">
        <v>7</v>
      </c>
      <c r="E129" s="3">
        <v>6.0749999999999993</v>
      </c>
      <c r="F129" s="3">
        <v>13.914999999999999</v>
      </c>
      <c r="G129" s="3">
        <v>1.1349</v>
      </c>
      <c r="H129" s="3">
        <v>12.716100000000001</v>
      </c>
    </row>
    <row r="130" spans="3:8" x14ac:dyDescent="0.45">
      <c r="D130" t="s">
        <v>5</v>
      </c>
      <c r="E130" s="3">
        <v>5.9102999999999994</v>
      </c>
      <c r="F130" s="3">
        <v>7.4843999999999999</v>
      </c>
      <c r="G130" s="3">
        <v>2.0202</v>
      </c>
      <c r="H130" s="3">
        <v>9.6123000000000012</v>
      </c>
    </row>
    <row r="131" spans="3:8" x14ac:dyDescent="0.45">
      <c r="C131" t="s">
        <v>19</v>
      </c>
      <c r="D131" t="s">
        <v>6</v>
      </c>
      <c r="E131" s="3">
        <v>5.4778500000000001</v>
      </c>
      <c r="F131" s="3">
        <v>6.5339999999999998</v>
      </c>
      <c r="G131" s="3">
        <v>10.302500000000002</v>
      </c>
      <c r="H131" s="3">
        <v>0.86040000000000005</v>
      </c>
    </row>
    <row r="132" spans="3:8" x14ac:dyDescent="0.45">
      <c r="D132" t="s">
        <v>7</v>
      </c>
      <c r="E132" s="3">
        <v>6.48</v>
      </c>
      <c r="F132" s="3">
        <v>17.393749999999997</v>
      </c>
      <c r="G132" s="3">
        <v>1.70235</v>
      </c>
      <c r="H132" s="3">
        <v>7.6416000000000004</v>
      </c>
    </row>
    <row r="133" spans="3:8" x14ac:dyDescent="0.45">
      <c r="D133" t="s">
        <v>5</v>
      </c>
      <c r="E133" s="3">
        <v>10.298249999999999</v>
      </c>
      <c r="F133" s="3">
        <v>3.2075999999999998</v>
      </c>
      <c r="G133" s="3">
        <v>23.232300000000002</v>
      </c>
      <c r="H133" s="3"/>
    </row>
    <row r="134" spans="3:8" x14ac:dyDescent="0.45">
      <c r="C134" t="s">
        <v>20</v>
      </c>
      <c r="D134" t="s">
        <v>6</v>
      </c>
      <c r="E134" s="3">
        <v>6.1771500000000001</v>
      </c>
      <c r="F134" s="3"/>
      <c r="G134" s="3"/>
      <c r="H134" s="3">
        <v>2.0792999999999999</v>
      </c>
    </row>
    <row r="135" spans="3:8" x14ac:dyDescent="0.45">
      <c r="D135" t="s">
        <v>7</v>
      </c>
      <c r="E135" s="3"/>
      <c r="F135" s="3">
        <v>4.5374999999999996</v>
      </c>
      <c r="G135" s="3"/>
      <c r="H135" s="3">
        <v>0.89550000000000007</v>
      </c>
    </row>
    <row r="136" spans="3:8" x14ac:dyDescent="0.45">
      <c r="D136" t="s">
        <v>5</v>
      </c>
      <c r="E136" s="3">
        <v>4.2983999999999991</v>
      </c>
      <c r="F136" s="3"/>
      <c r="G136" s="3">
        <v>2.0202</v>
      </c>
      <c r="H136" s="3">
        <v>1.2887999999999999</v>
      </c>
    </row>
  </sheetData>
  <conditionalFormatting pivot="1" sqref="E5:H136">
    <cfRule type="colorScale" priority="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1418-26EE-4B18-9F1D-2FF274F49953}">
  <dimension ref="B3:F8"/>
  <sheetViews>
    <sheetView zoomScale="135" workbookViewId="0">
      <selection activeCell="B3" sqref="B3"/>
    </sheetView>
  </sheetViews>
  <sheetFormatPr defaultRowHeight="14.25" x14ac:dyDescent="0.45"/>
  <cols>
    <col min="2" max="2" width="11.19921875" bestFit="1" customWidth="1"/>
    <col min="3" max="3" width="12.3984375" bestFit="1" customWidth="1"/>
    <col min="4" max="6" width="7.265625" bestFit="1" customWidth="1"/>
    <col min="7" max="8" width="6.265625" bestFit="1" customWidth="1"/>
  </cols>
  <sheetData>
    <row r="3" spans="2:6" x14ac:dyDescent="0.45">
      <c r="B3" s="2" t="s">
        <v>0</v>
      </c>
      <c r="C3" s="2" t="s">
        <v>8</v>
      </c>
    </row>
    <row r="4" spans="2:6" x14ac:dyDescent="0.45">
      <c r="B4" s="2" t="s">
        <v>9</v>
      </c>
      <c r="C4" t="s">
        <v>1</v>
      </c>
      <c r="D4" t="s">
        <v>2</v>
      </c>
      <c r="E4" t="s">
        <v>3</v>
      </c>
      <c r="F4" t="s">
        <v>4</v>
      </c>
    </row>
    <row r="5" spans="2:6" x14ac:dyDescent="0.45">
      <c r="B5">
        <v>2019</v>
      </c>
      <c r="C5" s="3">
        <v>263.39670000000001</v>
      </c>
      <c r="D5" s="3">
        <v>382.96060000000011</v>
      </c>
      <c r="E5" s="3">
        <v>439.14064999999999</v>
      </c>
      <c r="F5" s="3">
        <v>144.06420000000006</v>
      </c>
    </row>
    <row r="6" spans="2:6" x14ac:dyDescent="0.45">
      <c r="B6">
        <v>2020</v>
      </c>
      <c r="C6" s="3">
        <v>302.07735000000019</v>
      </c>
      <c r="D6" s="3">
        <v>402.97510000000005</v>
      </c>
      <c r="E6" s="3">
        <v>338.57915000000014</v>
      </c>
      <c r="F6" s="3">
        <v>149.59590000000006</v>
      </c>
    </row>
    <row r="7" spans="2:6" x14ac:dyDescent="0.45">
      <c r="B7">
        <v>2021</v>
      </c>
      <c r="C7" s="3">
        <v>364.10670000000016</v>
      </c>
      <c r="D7" s="3">
        <v>381.6604000000001</v>
      </c>
      <c r="E7" s="3">
        <v>498.77035000000001</v>
      </c>
      <c r="F7" s="3">
        <v>144.84870000000006</v>
      </c>
    </row>
    <row r="8" spans="2:6" x14ac:dyDescent="0.45">
      <c r="B8">
        <v>2022</v>
      </c>
      <c r="C8" s="3">
        <v>129.58379999999997</v>
      </c>
      <c r="D8" s="3">
        <v>186.11229999999998</v>
      </c>
      <c r="E8" s="3">
        <v>290.53960000000018</v>
      </c>
      <c r="F8" s="3">
        <v>101.80590000000002</v>
      </c>
    </row>
  </sheetData>
  <conditionalFormatting pivot="1" sqref="C5:F8">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2160-7616-405F-A77E-A7D8C4EEF41B}">
  <dimension ref="B1:F55"/>
  <sheetViews>
    <sheetView tabSelected="1" zoomScale="135" workbookViewId="0">
      <selection activeCell="E11" sqref="E11"/>
    </sheetView>
  </sheetViews>
  <sheetFormatPr defaultRowHeight="14.25" x14ac:dyDescent="0.45"/>
  <cols>
    <col min="2" max="2" width="21.265625" bestFit="1" customWidth="1"/>
    <col min="3" max="3" width="30.1328125" bestFit="1" customWidth="1"/>
    <col min="4" max="4" width="11.19921875" bestFit="1" customWidth="1"/>
    <col min="5" max="5" width="14.73046875" bestFit="1" customWidth="1"/>
    <col min="6" max="6" width="13.73046875" bestFit="1" customWidth="1"/>
    <col min="7" max="8" width="6.265625" bestFit="1" customWidth="1"/>
  </cols>
  <sheetData>
    <row r="1" spans="2:6" x14ac:dyDescent="0.45">
      <c r="B1" s="2" t="s">
        <v>28</v>
      </c>
      <c r="C1" t="s" vm="1">
        <v>29</v>
      </c>
    </row>
    <row r="3" spans="2:6" x14ac:dyDescent="0.45">
      <c r="B3" s="2" t="s">
        <v>30</v>
      </c>
      <c r="C3" s="2" t="s">
        <v>83</v>
      </c>
      <c r="D3" t="s">
        <v>0</v>
      </c>
      <c r="E3" t="s">
        <v>129</v>
      </c>
      <c r="F3" t="s">
        <v>130</v>
      </c>
    </row>
    <row r="4" spans="2:6" x14ac:dyDescent="0.45">
      <c r="B4" t="s">
        <v>40</v>
      </c>
      <c r="C4" t="s">
        <v>90</v>
      </c>
      <c r="D4" s="3">
        <v>29.307300000000001</v>
      </c>
      <c r="E4" s="1">
        <v>2</v>
      </c>
      <c r="F4" s="3">
        <v>14.653650000000001</v>
      </c>
    </row>
    <row r="5" spans="2:6" x14ac:dyDescent="0.45">
      <c r="B5" t="s">
        <v>46</v>
      </c>
      <c r="C5" t="s">
        <v>95</v>
      </c>
      <c r="D5" s="3">
        <v>21.222149999999999</v>
      </c>
      <c r="E5" s="1">
        <v>2</v>
      </c>
      <c r="F5" s="3">
        <v>10.611075</v>
      </c>
    </row>
    <row r="6" spans="2:6" x14ac:dyDescent="0.45">
      <c r="B6" t="s">
        <v>34</v>
      </c>
      <c r="D6" s="3">
        <v>31.599350000000001</v>
      </c>
      <c r="E6" s="1">
        <v>3</v>
      </c>
      <c r="F6" s="3">
        <v>10.533116666666666</v>
      </c>
    </row>
    <row r="7" spans="2:6" x14ac:dyDescent="0.45">
      <c r="B7" t="s">
        <v>51</v>
      </c>
      <c r="C7" t="s">
        <v>99</v>
      </c>
      <c r="D7" s="3">
        <v>28.998899999999999</v>
      </c>
      <c r="E7" s="1">
        <v>3</v>
      </c>
      <c r="F7" s="3">
        <v>9.6662999999999997</v>
      </c>
    </row>
    <row r="8" spans="2:6" x14ac:dyDescent="0.45">
      <c r="B8" t="s">
        <v>49</v>
      </c>
      <c r="D8" s="3">
        <v>28.673749999999998</v>
      </c>
      <c r="E8" s="1">
        <v>3</v>
      </c>
      <c r="F8" s="3">
        <v>9.5579166666666655</v>
      </c>
    </row>
    <row r="9" spans="2:6" x14ac:dyDescent="0.45">
      <c r="B9" t="s">
        <v>72</v>
      </c>
      <c r="C9" t="s">
        <v>118</v>
      </c>
      <c r="D9" s="3">
        <v>34.723550000000003</v>
      </c>
      <c r="E9" s="1">
        <v>5</v>
      </c>
      <c r="F9" s="3">
        <v>6.9447100000000006</v>
      </c>
    </row>
    <row r="10" spans="2:6" x14ac:dyDescent="0.45">
      <c r="B10" t="s">
        <v>43</v>
      </c>
      <c r="C10" t="s">
        <v>93</v>
      </c>
      <c r="D10" s="3">
        <v>13.446899999999999</v>
      </c>
      <c r="E10" s="1">
        <v>2</v>
      </c>
      <c r="F10" s="3">
        <v>6.7234499999999997</v>
      </c>
    </row>
    <row r="11" spans="2:6" x14ac:dyDescent="0.45">
      <c r="B11" t="s">
        <v>78</v>
      </c>
      <c r="C11" t="s">
        <v>124</v>
      </c>
      <c r="D11" s="3">
        <v>25.972499999999997</v>
      </c>
      <c r="E11" s="1">
        <v>4</v>
      </c>
      <c r="F11" s="3">
        <v>6.4931249999999991</v>
      </c>
    </row>
    <row r="12" spans="2:6" x14ac:dyDescent="0.45">
      <c r="B12" t="s">
        <v>64</v>
      </c>
      <c r="C12" t="s">
        <v>111</v>
      </c>
      <c r="D12" s="3">
        <v>11.533349999999999</v>
      </c>
      <c r="E12" s="1">
        <v>2</v>
      </c>
      <c r="F12" s="3">
        <v>5.7666749999999993</v>
      </c>
    </row>
    <row r="13" spans="2:6" x14ac:dyDescent="0.45">
      <c r="B13" t="s">
        <v>57</v>
      </c>
      <c r="C13" t="s">
        <v>104</v>
      </c>
      <c r="D13" s="3">
        <v>11.269300000000001</v>
      </c>
      <c r="E13" s="1">
        <v>2</v>
      </c>
      <c r="F13" s="3">
        <v>5.6346500000000006</v>
      </c>
    </row>
    <row r="14" spans="2:6" x14ac:dyDescent="0.45">
      <c r="B14" t="s">
        <v>60</v>
      </c>
      <c r="C14" t="s">
        <v>107</v>
      </c>
      <c r="D14" s="3">
        <v>10.968</v>
      </c>
      <c r="E14" s="1">
        <v>2</v>
      </c>
      <c r="F14" s="3">
        <v>5.484</v>
      </c>
    </row>
    <row r="15" spans="2:6" x14ac:dyDescent="0.45">
      <c r="B15" t="s">
        <v>47</v>
      </c>
      <c r="C15" t="s">
        <v>96</v>
      </c>
      <c r="D15" s="3">
        <v>20.897400000000001</v>
      </c>
      <c r="E15" s="1">
        <v>4</v>
      </c>
      <c r="F15" s="3">
        <v>5.2243500000000003</v>
      </c>
    </row>
    <row r="16" spans="2:6" x14ac:dyDescent="0.45">
      <c r="B16" t="s">
        <v>37</v>
      </c>
      <c r="C16" t="s">
        <v>88</v>
      </c>
      <c r="D16" s="3">
        <v>10.150650000000001</v>
      </c>
      <c r="E16" s="1">
        <v>2</v>
      </c>
      <c r="F16" s="3">
        <v>5.0753250000000003</v>
      </c>
    </row>
    <row r="17" spans="2:6" x14ac:dyDescent="0.45">
      <c r="B17" t="s">
        <v>33</v>
      </c>
      <c r="C17" t="s">
        <v>85</v>
      </c>
      <c r="D17" s="3">
        <v>20.041</v>
      </c>
      <c r="E17" s="1">
        <v>4</v>
      </c>
      <c r="F17" s="3">
        <v>5.0102500000000001</v>
      </c>
    </row>
    <row r="18" spans="2:6" x14ac:dyDescent="0.45">
      <c r="B18" t="s">
        <v>75</v>
      </c>
      <c r="C18" t="s">
        <v>121</v>
      </c>
      <c r="D18" s="3">
        <v>9.8703000000000003</v>
      </c>
      <c r="E18" s="1">
        <v>2</v>
      </c>
      <c r="F18" s="3">
        <v>4.9351500000000001</v>
      </c>
    </row>
    <row r="19" spans="2:6" x14ac:dyDescent="0.45">
      <c r="B19" t="s">
        <v>79</v>
      </c>
      <c r="C19" t="s">
        <v>125</v>
      </c>
      <c r="D19" s="3">
        <v>9.2120999999999995</v>
      </c>
      <c r="E19" s="1">
        <v>2</v>
      </c>
      <c r="F19" s="3">
        <v>4.6060499999999998</v>
      </c>
    </row>
    <row r="20" spans="2:6" x14ac:dyDescent="0.45">
      <c r="B20" t="s">
        <v>61</v>
      </c>
      <c r="C20" t="s">
        <v>108</v>
      </c>
      <c r="D20" s="3">
        <v>9.1165500000000002</v>
      </c>
      <c r="E20" s="1">
        <v>2</v>
      </c>
      <c r="F20" s="3">
        <v>4.5582750000000001</v>
      </c>
    </row>
    <row r="21" spans="2:6" x14ac:dyDescent="0.45">
      <c r="B21" t="s">
        <v>59</v>
      </c>
      <c r="C21" t="s">
        <v>106</v>
      </c>
      <c r="D21" s="3">
        <v>9.0290999999999997</v>
      </c>
      <c r="E21" s="1">
        <v>2</v>
      </c>
      <c r="F21" s="3">
        <v>4.5145499999999998</v>
      </c>
    </row>
    <row r="22" spans="2:6" x14ac:dyDescent="0.45">
      <c r="B22" t="s">
        <v>54</v>
      </c>
      <c r="C22" t="s">
        <v>101</v>
      </c>
      <c r="D22" s="3">
        <v>13.184850000000001</v>
      </c>
      <c r="E22" s="1">
        <v>3</v>
      </c>
      <c r="F22" s="3">
        <v>4.3949500000000006</v>
      </c>
    </row>
    <row r="23" spans="2:6" x14ac:dyDescent="0.45">
      <c r="B23" t="s">
        <v>65</v>
      </c>
      <c r="C23" t="s">
        <v>112</v>
      </c>
      <c r="D23" s="3">
        <v>8.6995000000000005</v>
      </c>
      <c r="E23" s="1">
        <v>2</v>
      </c>
      <c r="F23" s="3">
        <v>4.3497500000000002</v>
      </c>
    </row>
    <row r="24" spans="2:6" x14ac:dyDescent="0.45">
      <c r="B24" t="s">
        <v>32</v>
      </c>
      <c r="D24" s="3">
        <v>12.870450000000002</v>
      </c>
      <c r="E24" s="1">
        <v>3</v>
      </c>
      <c r="F24" s="3">
        <v>4.2901500000000006</v>
      </c>
    </row>
    <row r="25" spans="2:6" x14ac:dyDescent="0.45">
      <c r="B25" t="s">
        <v>36</v>
      </c>
      <c r="C25" t="s">
        <v>87</v>
      </c>
      <c r="D25" s="3">
        <v>8.5250000000000004</v>
      </c>
      <c r="E25" s="1">
        <v>2</v>
      </c>
      <c r="F25" s="3">
        <v>4.2625000000000002</v>
      </c>
    </row>
    <row r="26" spans="2:6" x14ac:dyDescent="0.45">
      <c r="B26" t="s">
        <v>50</v>
      </c>
      <c r="C26" t="s">
        <v>98</v>
      </c>
      <c r="D26" s="3">
        <v>8.5227000000000004</v>
      </c>
      <c r="E26" s="1">
        <v>2</v>
      </c>
      <c r="F26" s="3">
        <v>4.2613500000000002</v>
      </c>
    </row>
    <row r="27" spans="2:6" x14ac:dyDescent="0.45">
      <c r="B27" t="s">
        <v>39</v>
      </c>
      <c r="D27" s="3">
        <v>29.450850000000003</v>
      </c>
      <c r="E27" s="1">
        <v>7</v>
      </c>
      <c r="F27" s="3">
        <v>4.2072642857142863</v>
      </c>
    </row>
    <row r="28" spans="2:6" x14ac:dyDescent="0.45">
      <c r="B28" t="s">
        <v>53</v>
      </c>
      <c r="D28" s="3">
        <v>15.872700000000002</v>
      </c>
      <c r="E28" s="1">
        <v>4</v>
      </c>
      <c r="F28" s="3">
        <v>3.9681750000000005</v>
      </c>
    </row>
    <row r="29" spans="2:6" x14ac:dyDescent="0.45">
      <c r="B29" t="s">
        <v>66</v>
      </c>
      <c r="C29" t="s">
        <v>113</v>
      </c>
      <c r="D29" s="3">
        <v>7.0106999999999999</v>
      </c>
      <c r="E29" s="1">
        <v>2</v>
      </c>
      <c r="F29" s="3">
        <v>3.50535</v>
      </c>
    </row>
    <row r="30" spans="2:6" x14ac:dyDescent="0.45">
      <c r="B30" t="s">
        <v>52</v>
      </c>
      <c r="C30" t="s">
        <v>100</v>
      </c>
      <c r="D30" s="3">
        <v>13.424849999999999</v>
      </c>
      <c r="E30" s="1">
        <v>4</v>
      </c>
      <c r="F30" s="3">
        <v>3.3562124999999998</v>
      </c>
    </row>
    <row r="31" spans="2:6" x14ac:dyDescent="0.45">
      <c r="B31" t="s">
        <v>45</v>
      </c>
      <c r="D31" s="3">
        <v>6.3231999999999999</v>
      </c>
      <c r="E31" s="1">
        <v>2</v>
      </c>
      <c r="F31" s="3">
        <v>3.1616</v>
      </c>
    </row>
    <row r="32" spans="2:6" x14ac:dyDescent="0.45">
      <c r="B32" t="s">
        <v>35</v>
      </c>
      <c r="C32" t="s">
        <v>86</v>
      </c>
      <c r="D32" s="3">
        <v>5.7314999999999996</v>
      </c>
      <c r="E32" s="1">
        <v>2</v>
      </c>
      <c r="F32" s="3">
        <v>2.8657499999999998</v>
      </c>
    </row>
    <row r="33" spans="2:6" x14ac:dyDescent="0.45">
      <c r="B33" t="s">
        <v>48</v>
      </c>
      <c r="C33" t="s">
        <v>97</v>
      </c>
      <c r="D33" s="3">
        <v>8.3658999999999999</v>
      </c>
      <c r="E33" s="1">
        <v>3</v>
      </c>
      <c r="F33" s="3">
        <v>2.7886333333333333</v>
      </c>
    </row>
    <row r="34" spans="2:6" x14ac:dyDescent="0.45">
      <c r="B34" t="s">
        <v>56</v>
      </c>
      <c r="C34" t="s">
        <v>103</v>
      </c>
      <c r="D34" s="3">
        <v>11.11985</v>
      </c>
      <c r="E34" s="1">
        <v>4</v>
      </c>
      <c r="F34" s="3">
        <v>2.7799624999999999</v>
      </c>
    </row>
    <row r="35" spans="2:6" x14ac:dyDescent="0.45">
      <c r="B35" t="s">
        <v>41</v>
      </c>
      <c r="C35" t="s">
        <v>91</v>
      </c>
      <c r="D35" s="3">
        <v>5.5465499999999999</v>
      </c>
      <c r="E35" s="1">
        <v>2</v>
      </c>
      <c r="F35" s="3">
        <v>2.7732749999999999</v>
      </c>
    </row>
    <row r="36" spans="2:6" x14ac:dyDescent="0.45">
      <c r="B36" t="s">
        <v>69</v>
      </c>
      <c r="C36" t="s">
        <v>115</v>
      </c>
      <c r="D36" s="3">
        <v>13.763399999999999</v>
      </c>
      <c r="E36" s="1">
        <v>5</v>
      </c>
      <c r="F36" s="3">
        <v>2.7526799999999998</v>
      </c>
    </row>
    <row r="37" spans="2:6" x14ac:dyDescent="0.45">
      <c r="B37" t="s">
        <v>31</v>
      </c>
      <c r="C37" t="s">
        <v>84</v>
      </c>
      <c r="D37" s="3">
        <v>5.1367500000000001</v>
      </c>
      <c r="E37" s="1">
        <v>2</v>
      </c>
      <c r="F37" s="3">
        <v>2.5683750000000001</v>
      </c>
    </row>
    <row r="38" spans="2:6" x14ac:dyDescent="0.45">
      <c r="B38" t="s">
        <v>76</v>
      </c>
      <c r="C38" t="s">
        <v>122</v>
      </c>
      <c r="D38" s="3">
        <v>4.9805999999999999</v>
      </c>
      <c r="E38" s="1">
        <v>2</v>
      </c>
      <c r="F38" s="3">
        <v>2.4903</v>
      </c>
    </row>
    <row r="39" spans="2:6" x14ac:dyDescent="0.45">
      <c r="B39" t="s">
        <v>80</v>
      </c>
      <c r="C39" t="s">
        <v>126</v>
      </c>
      <c r="D39" s="3">
        <v>4.5076499999999999</v>
      </c>
      <c r="E39" s="1">
        <v>2</v>
      </c>
      <c r="F39" s="3">
        <v>2.253825</v>
      </c>
    </row>
    <row r="40" spans="2:6" x14ac:dyDescent="0.45">
      <c r="B40" t="s">
        <v>63</v>
      </c>
      <c r="C40" t="s">
        <v>110</v>
      </c>
      <c r="D40" s="3">
        <v>11.159649999999999</v>
      </c>
      <c r="E40" s="1">
        <v>5</v>
      </c>
      <c r="F40" s="3">
        <v>2.2319299999999997</v>
      </c>
    </row>
    <row r="41" spans="2:6" x14ac:dyDescent="0.45">
      <c r="B41" t="s">
        <v>82</v>
      </c>
      <c r="C41" t="s">
        <v>128</v>
      </c>
      <c r="D41" s="3">
        <v>4.3303000000000003</v>
      </c>
      <c r="E41" s="1">
        <v>2</v>
      </c>
      <c r="F41" s="3">
        <v>2.1651500000000001</v>
      </c>
    </row>
    <row r="42" spans="2:6" x14ac:dyDescent="0.45">
      <c r="B42" t="s">
        <v>68</v>
      </c>
      <c r="D42" s="3">
        <v>8.2459500000000006</v>
      </c>
      <c r="E42" s="1">
        <v>4</v>
      </c>
      <c r="F42" s="3">
        <v>2.0614875000000001</v>
      </c>
    </row>
    <row r="43" spans="2:6" x14ac:dyDescent="0.45">
      <c r="B43" t="s">
        <v>58</v>
      </c>
      <c r="C43" t="s">
        <v>105</v>
      </c>
      <c r="D43" s="3">
        <v>3.5623</v>
      </c>
      <c r="E43" s="1">
        <v>2</v>
      </c>
      <c r="F43" s="3">
        <v>1.78115</v>
      </c>
    </row>
    <row r="44" spans="2:6" x14ac:dyDescent="0.45">
      <c r="B44" t="s">
        <v>77</v>
      </c>
      <c r="C44" t="s">
        <v>123</v>
      </c>
      <c r="D44" s="3">
        <v>3.3723000000000001</v>
      </c>
      <c r="E44" s="1">
        <v>2</v>
      </c>
      <c r="F44" s="3">
        <v>1.68615</v>
      </c>
    </row>
    <row r="45" spans="2:6" x14ac:dyDescent="0.45">
      <c r="B45" t="s">
        <v>74</v>
      </c>
      <c r="C45" t="s">
        <v>120</v>
      </c>
      <c r="D45" s="3">
        <v>4.7288999999999994</v>
      </c>
      <c r="E45" s="1">
        <v>3</v>
      </c>
      <c r="F45" s="3">
        <v>1.5762999999999998</v>
      </c>
    </row>
    <row r="46" spans="2:6" x14ac:dyDescent="0.45">
      <c r="B46" t="s">
        <v>38</v>
      </c>
      <c r="C46" t="s">
        <v>89</v>
      </c>
      <c r="D46" s="3">
        <v>3.1225499999999999</v>
      </c>
      <c r="E46" s="1">
        <v>2</v>
      </c>
      <c r="F46" s="3">
        <v>1.561275</v>
      </c>
    </row>
    <row r="47" spans="2:6" x14ac:dyDescent="0.45">
      <c r="B47" t="s">
        <v>71</v>
      </c>
      <c r="C47" t="s">
        <v>117</v>
      </c>
      <c r="D47" s="3">
        <v>3.06915</v>
      </c>
      <c r="E47" s="1">
        <v>2</v>
      </c>
      <c r="F47" s="3">
        <v>1.534575</v>
      </c>
    </row>
    <row r="48" spans="2:6" x14ac:dyDescent="0.45">
      <c r="B48" t="s">
        <v>44</v>
      </c>
      <c r="C48" t="s">
        <v>94</v>
      </c>
      <c r="D48" s="3">
        <v>3.0131999999999999</v>
      </c>
      <c r="E48" s="1">
        <v>2</v>
      </c>
      <c r="F48" s="3">
        <v>1.5065999999999999</v>
      </c>
    </row>
    <row r="49" spans="2:6" x14ac:dyDescent="0.45">
      <c r="B49" t="s">
        <v>67</v>
      </c>
      <c r="C49" t="s">
        <v>114</v>
      </c>
      <c r="D49" s="3">
        <v>2.8930499999999997</v>
      </c>
      <c r="E49" s="1">
        <v>2</v>
      </c>
      <c r="F49" s="3">
        <v>1.4465249999999998</v>
      </c>
    </row>
    <row r="50" spans="2:6" x14ac:dyDescent="0.45">
      <c r="B50" t="s">
        <v>73</v>
      </c>
      <c r="C50" t="s">
        <v>119</v>
      </c>
      <c r="D50" s="3">
        <v>2.8284000000000002</v>
      </c>
      <c r="E50" s="1">
        <v>2</v>
      </c>
      <c r="F50" s="3">
        <v>1.4142000000000001</v>
      </c>
    </row>
    <row r="51" spans="2:6" x14ac:dyDescent="0.45">
      <c r="B51" t="s">
        <v>62</v>
      </c>
      <c r="C51" t="s">
        <v>109</v>
      </c>
      <c r="D51" s="3">
        <v>2.7054</v>
      </c>
      <c r="E51" s="1">
        <v>2</v>
      </c>
      <c r="F51" s="3">
        <v>1.3527</v>
      </c>
    </row>
    <row r="52" spans="2:6" x14ac:dyDescent="0.45">
      <c r="B52" t="s">
        <v>55</v>
      </c>
      <c r="C52" t="s">
        <v>102</v>
      </c>
      <c r="D52" s="3">
        <v>2.6557500000000003</v>
      </c>
      <c r="E52" s="1">
        <v>2</v>
      </c>
      <c r="F52" s="3">
        <v>1.3278750000000001</v>
      </c>
    </row>
    <row r="53" spans="2:6" x14ac:dyDescent="0.45">
      <c r="B53" t="s">
        <v>81</v>
      </c>
      <c r="C53" t="s">
        <v>127</v>
      </c>
      <c r="D53" s="3">
        <v>2.6055000000000001</v>
      </c>
      <c r="E53" s="1">
        <v>2</v>
      </c>
      <c r="F53" s="3">
        <v>1.3027500000000001</v>
      </c>
    </row>
    <row r="54" spans="2:6" x14ac:dyDescent="0.45">
      <c r="B54" t="s">
        <v>42</v>
      </c>
      <c r="C54" t="s">
        <v>92</v>
      </c>
      <c r="D54" s="3">
        <v>1.5407999999999999</v>
      </c>
      <c r="E54" s="1">
        <v>2</v>
      </c>
      <c r="F54" s="3">
        <v>0.77039999999999997</v>
      </c>
    </row>
    <row r="55" spans="2:6" x14ac:dyDescent="0.45">
      <c r="B55" t="s">
        <v>70</v>
      </c>
      <c r="C55" t="s">
        <v>116</v>
      </c>
      <c r="D55" s="3">
        <v>1.3239000000000001</v>
      </c>
      <c r="E55" s="1">
        <v>2</v>
      </c>
      <c r="F55" s="3">
        <v>0.66195000000000004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619E6-3BAB-4210-8B6A-796E3AA69BA1}">
  <dimension ref="A1"/>
  <sheetViews>
    <sheetView workbookViewId="0">
      <selection activeCell="J6" sqref="J6"/>
    </sheetView>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B368FE3-5AB1-43CF-9E57-6797E4BAEC91}">
  <ds:schemaRefs/>
</ds:datastoreItem>
</file>

<file path=customXml/itemProps2.xml><?xml version="1.0" encoding="utf-8"?>
<ds:datastoreItem xmlns:ds="http://schemas.openxmlformats.org/officeDocument/2006/customXml" ds:itemID="{FEAEC95C-EF7D-4EA1-870E-023C5B8B8F9E}">
  <ds:schemaRefs/>
</ds:datastoreItem>
</file>

<file path=customXml/itemProps3.xml><?xml version="1.0" encoding="utf-8"?>
<ds:datastoreItem xmlns:ds="http://schemas.openxmlformats.org/officeDocument/2006/customXml" ds:itemID="{E2A98A0B-7E49-43C4-A029-9F0746EF1BED}">
  <ds:schemaRefs/>
</ds:datastoreItem>
</file>

<file path=customXml/itemProps4.xml><?xml version="1.0" encoding="utf-8"?>
<ds:datastoreItem xmlns:ds="http://schemas.openxmlformats.org/officeDocument/2006/customXml" ds:itemID="{59DA2FAF-1164-4B23-8AD6-8DE850C34A3F}">
  <ds:schemaRefs>
    <ds:schemaRef ds:uri="http://schemas.microsoft.com/DataMashup"/>
  </ds:schemaRefs>
</ds:datastoreItem>
</file>

<file path=customXml/itemProps5.xml><?xml version="1.0" encoding="utf-8"?>
<ds:datastoreItem xmlns:ds="http://schemas.openxmlformats.org/officeDocument/2006/customXml" ds:itemID="{C21BD408-10CF-499B-A0DF-C8AC12BCF4F0}">
  <ds:schemaRefs/>
</ds:datastoreItem>
</file>

<file path=customXml/itemProps6.xml><?xml version="1.0" encoding="utf-8"?>
<ds:datastoreItem xmlns:ds="http://schemas.openxmlformats.org/officeDocument/2006/customXml" ds:itemID="{51369686-0D14-4DC1-B83D-52B7B94F4EDA}">
  <ds:schemaRefs/>
</ds:datastoreItem>
</file>

<file path=customXml/itemProps7.xml><?xml version="1.0" encoding="utf-8"?>
<ds:datastoreItem xmlns:ds="http://schemas.openxmlformats.org/officeDocument/2006/customXml" ds:itemID="{0039C9ED-2028-4319-ABC9-CB43A6192E68}">
  <ds:schemaRefs/>
</ds:datastoreItem>
</file>

<file path=customXml/itemProps8.xml><?xml version="1.0" encoding="utf-8"?>
<ds:datastoreItem xmlns:ds="http://schemas.openxmlformats.org/officeDocument/2006/customXml" ds:itemID="{41429EC1-EAB3-4D1C-8027-25CA40A25199}">
  <ds:schemaRefs/>
</ds:datastoreItem>
</file>

<file path=customXml/itemProps9.xml><?xml version="1.0" encoding="utf-8"?>
<ds:datastoreItem xmlns:ds="http://schemas.openxmlformats.org/officeDocument/2006/customXml" ds:itemID="{2A239024-5484-424D-A2F9-231EF924BD78}">
  <ds:schemaRefs/>
</ds:datastoreItem>
</file>

<file path=customXml/itemProps10.xml><?xml version="1.0" encoding="utf-8"?>
<ds:datastoreItem xmlns:ds="http://schemas.openxmlformats.org/officeDocument/2006/customXml" ds:itemID="{D9FD58E6-1F75-4C7E-9B90-B286DCA07212}">
  <ds:schemaRefs/>
</ds:datastoreItem>
</file>

<file path=customXml/itemProps11.xml><?xml version="1.0" encoding="utf-8"?>
<ds:datastoreItem xmlns:ds="http://schemas.openxmlformats.org/officeDocument/2006/customXml" ds:itemID="{C4515E92-8FFA-423D-B3F0-2998D89ACD7D}">
  <ds:schemaRefs/>
</ds:datastoreItem>
</file>

<file path=customXml/itemProps12.xml><?xml version="1.0" encoding="utf-8"?>
<ds:datastoreItem xmlns:ds="http://schemas.openxmlformats.org/officeDocument/2006/customXml" ds:itemID="{A9E1C15F-26A2-4CA1-8E09-93E20B2910DA}">
  <ds:schemaRefs/>
</ds:datastoreItem>
</file>

<file path=customXml/itemProps13.xml><?xml version="1.0" encoding="utf-8"?>
<ds:datastoreItem xmlns:ds="http://schemas.openxmlformats.org/officeDocument/2006/customXml" ds:itemID="{861BEF11-7CDA-4BBB-9965-E5E0293903BB}">
  <ds:schemaRefs/>
</ds:datastoreItem>
</file>

<file path=customXml/itemProps14.xml><?xml version="1.0" encoding="utf-8"?>
<ds:datastoreItem xmlns:ds="http://schemas.openxmlformats.org/officeDocument/2006/customXml" ds:itemID="{923202FD-80AF-4141-ADDF-4A39BF5E28F9}">
  <ds:schemaRefs/>
</ds:datastoreItem>
</file>

<file path=customXml/itemProps15.xml><?xml version="1.0" encoding="utf-8"?>
<ds:datastoreItem xmlns:ds="http://schemas.openxmlformats.org/officeDocument/2006/customXml" ds:itemID="{2C014A17-7988-463A-BB9A-9C611B34DDC8}">
  <ds:schemaRefs/>
</ds:datastoreItem>
</file>

<file path=customXml/itemProps16.xml><?xml version="1.0" encoding="utf-8"?>
<ds:datastoreItem xmlns:ds="http://schemas.openxmlformats.org/officeDocument/2006/customXml" ds:itemID="{EC7080C0-B338-416B-AB0F-B3974A076E06}">
  <ds:schemaRefs/>
</ds:datastoreItem>
</file>

<file path=customXml/itemProps17.xml><?xml version="1.0" encoding="utf-8"?>
<ds:datastoreItem xmlns:ds="http://schemas.openxmlformats.org/officeDocument/2006/customXml" ds:itemID="{A1CF54F0-62DE-4726-9930-D027E1E82EB6}">
  <ds:schemaRefs/>
</ds:datastoreItem>
</file>

<file path=customXml/itemProps18.xml><?xml version="1.0" encoding="utf-8"?>
<ds:datastoreItem xmlns:ds="http://schemas.openxmlformats.org/officeDocument/2006/customXml" ds:itemID="{EB8D7BCD-4406-458A-B6D4-DFDC34BB9F47}">
  <ds:schemaRefs/>
</ds:datastoreItem>
</file>

<file path=customXml/itemProps19.xml><?xml version="1.0" encoding="utf-8"?>
<ds:datastoreItem xmlns:ds="http://schemas.openxmlformats.org/officeDocument/2006/customXml" ds:itemID="{B8E0A5DF-291D-49AE-887F-06C7BF1476AD}">
  <ds:schemaRefs/>
</ds:datastoreItem>
</file>

<file path=customXml/itemProps20.xml><?xml version="1.0" encoding="utf-8"?>
<ds:datastoreItem xmlns:ds="http://schemas.openxmlformats.org/officeDocument/2006/customXml" ds:itemID="{BD33F883-209E-4479-BD8E-A0C9758170E9}">
  <ds:schemaRefs/>
</ds:datastoreItem>
</file>

<file path=customXml/itemProps21.xml><?xml version="1.0" encoding="utf-8"?>
<ds:datastoreItem xmlns:ds="http://schemas.openxmlformats.org/officeDocument/2006/customXml" ds:itemID="{C58B8478-E343-45D3-A54E-CAEE19990A53}">
  <ds:schemaRefs/>
</ds:datastoreItem>
</file>

<file path=customXml/itemProps22.xml><?xml version="1.0" encoding="utf-8"?>
<ds:datastoreItem xmlns:ds="http://schemas.openxmlformats.org/officeDocument/2006/customXml" ds:itemID="{3C8531F0-2E57-4CDF-BF5E-3E7A21E41F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Sheet2 (2)</vt:lpstr>
      <vt:lpstr>Sheet2 (3)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Shazley</dc:creator>
  <cp:lastModifiedBy>Omar Shazley</cp:lastModifiedBy>
  <dcterms:created xsi:type="dcterms:W3CDTF">2026-10-27T09:49:53Z</dcterms:created>
  <dcterms:modified xsi:type="dcterms:W3CDTF">2026-10-27T11:33:28Z</dcterms:modified>
</cp:coreProperties>
</file>